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Work\SQL\IEAccountingUSDIncome\"/>
    </mc:Choice>
  </mc:AlternateContent>
  <xr:revisionPtr revIDLastSave="0" documentId="13_ncr:1_{3C7F435D-C410-4094-A420-16A67C3BF9A2}" xr6:coauthVersionLast="45" xr6:coauthVersionMax="45" xr10:uidLastSave="{00000000-0000-0000-0000-000000000000}"/>
  <bookViews>
    <workbookView xWindow="8263" yWindow="2674" windowWidth="19217" windowHeight="14417" activeTab="4" xr2:uid="{00000000-000D-0000-FFFF-FFFF00000000}"/>
  </bookViews>
  <sheets>
    <sheet name="str.1" sheetId="1" r:id="rId1"/>
    <sheet name="section.1.1" sheetId="2" r:id="rId2"/>
    <sheet name="section.2.1.1" sheetId="6" r:id="rId3"/>
    <sheet name="Initial" sheetId="8" r:id="rId4"/>
    <sheet name="Income" sheetId="7" r:id="rId5"/>
    <sheet name="PivotIncome" sheetId="10" r:id="rId6"/>
  </sheets>
  <functionGroups builtInGroupCount="19"/>
  <definedNames>
    <definedName name="_xlnm.Print_Area" localSheetId="1">section.1.1!$A$1:$DQ$79</definedName>
    <definedName name="_xlnm.Print_Area" localSheetId="2">section.2.1.1!$A$1:$DQ$82</definedName>
    <definedName name="_xlnm.Print_Area" localSheetId="0">str.1!$A$1:$DR$82</definedName>
  </definedNames>
  <calcPr calcId="181029"/>
  <pivotCaches>
    <pivotCache cacheId="0" r:id="rId7"/>
  </pivotCaches>
  <extLst>
    <ext xmlns:x15="http://schemas.microsoft.com/office/spreadsheetml/2010/11/main" uri="{FCE2AD5D-F65C-4FA6-A056-5C36A1767C68}">
      <x15:dataModel>
        <x15:modelTables>
          <x15:modelTable id="DimDate_cdde5e9f-ad5e-434e-a95f-11f7dbb9d6d9" name="DimDate" connection="SqlServer localhost IEAccountingUSDIncome"/>
          <x15:modelTable id="FactIncome_91b9a1ad-fb83-459c-b3cf-fd471c34dcb8" name="FactIncome" connection="SqlServer localhost IEAccountingUSDIncome"/>
        </x15:modelTables>
        <x15:modelRelationships>
          <x15:modelRelationship fromTable="FactIncome" fromColumn="DateID" toTable="DimDate" toColumn="Dat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2" i="6" l="1"/>
  <c r="C31" i="8" l="1"/>
  <c r="C30" i="8"/>
  <c r="C29" i="8"/>
  <c r="C28" i="8"/>
  <c r="C25" i="8"/>
  <c r="C26" i="8"/>
  <c r="C24" i="8"/>
  <c r="G23" i="8"/>
  <c r="C23" i="8"/>
  <c r="C19" i="8"/>
  <c r="C20" i="8" s="1"/>
  <c r="C21" i="8" s="1"/>
  <c r="C22" i="8" s="1"/>
  <c r="C32" i="8" s="1"/>
  <c r="C15" i="8" l="1"/>
  <c r="C16" i="8" l="1"/>
  <c r="C17" i="8" s="1"/>
  <c r="C18" i="8" s="1"/>
  <c r="C34" i="8" s="1"/>
  <c r="BJ5" i="6"/>
  <c r="BG5" i="6"/>
  <c r="BD5" i="6"/>
  <c r="BA5" i="6"/>
  <c r="AX5" i="6"/>
  <c r="AU5" i="6"/>
  <c r="AR5" i="6"/>
  <c r="AO5" i="6"/>
  <c r="AL5" i="6"/>
  <c r="BS2" i="6"/>
  <c r="BP2" i="6"/>
  <c r="BM2" i="6"/>
  <c r="BJ2" i="6"/>
  <c r="BG2" i="6"/>
  <c r="BD2" i="6"/>
  <c r="BA2" i="6"/>
  <c r="AX2" i="6"/>
  <c r="AU2" i="6"/>
  <c r="AR2" i="6"/>
  <c r="AO2" i="6"/>
  <c r="AL2" i="2"/>
  <c r="AO2" i="2"/>
  <c r="AR2" i="2"/>
  <c r="AU2" i="2"/>
  <c r="AX2" i="2"/>
  <c r="BA2" i="2"/>
  <c r="BD2" i="2"/>
  <c r="BG2" i="2"/>
  <c r="BJ2" i="2"/>
  <c r="BM2" i="2"/>
  <c r="BP2" i="2"/>
  <c r="BS2" i="2"/>
  <c r="AL5" i="2"/>
  <c r="AO5" i="2"/>
  <c r="AR5" i="2"/>
  <c r="AU5" i="2"/>
  <c r="AX5" i="2"/>
  <c r="BA5" i="2"/>
  <c r="BD5" i="2"/>
  <c r="BG5" i="2"/>
  <c r="BJ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qlServer localhost IEAccountingUSDIncome" type="100" refreshedVersion="6" saveData="1">
    <extLst>
      <ext xmlns:x15="http://schemas.microsoft.com/office/spreadsheetml/2010/11/main" uri="{DE250136-89BD-433C-8126-D09CA5730AF9}">
        <x15:connection id="064a4b22-f40f-4b26-89c2-2cbeb78614c9"/>
      </ext>
    </extLst>
  </connection>
  <connection id="2" xr16:uid="{00000000-0015-0000-FFFF-FFFF01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<sst xmlns="http://schemas.openxmlformats.org/spreadsheetml/2006/main" count="516" uniqueCount="188">
  <si>
    <t>Номер корректировки</t>
  </si>
  <si>
    <t>Отчетный год</t>
  </si>
  <si>
    <t>ИНН</t>
  </si>
  <si>
    <t>КПП</t>
  </si>
  <si>
    <t>Стр.</t>
  </si>
  <si>
    <t>(налогоплательщик)</t>
  </si>
  <si>
    <t>.</t>
  </si>
  <si>
    <t>Код вида экономической деятельности по классификатору ОКВЭД</t>
  </si>
  <si>
    <r>
      <t>Представляется в налоговый орган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</si>
  <si>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r>
      <t>Налоговый период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</si>
  <si>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Номер контактного телефона</t>
  </si>
  <si>
    <t>На</t>
  </si>
  <si>
    <t>страницах</t>
  </si>
  <si>
    <t>листах</t>
  </si>
  <si>
    <t>с приложением подтверждающих документов или их копий на</t>
  </si>
  <si>
    <t>Достоверность и полноту сведений, указанных</t>
  </si>
  <si>
    <t>в настоящей декларации, подтверждаю:</t>
  </si>
  <si>
    <t>Заполняется работником налогового органа</t>
  </si>
  <si>
    <t>Сведения о представлении декларации</t>
  </si>
  <si>
    <r>
      <t xml:space="preserve">Данная декларация представлена </t>
    </r>
    <r>
      <rPr>
        <sz val="7.5"/>
        <rFont val="Arial"/>
        <family val="2"/>
        <charset val="204"/>
      </rPr>
      <t>(код)</t>
    </r>
  </si>
  <si>
    <t>1 - налогоплательщик,
2 - представитель налогоплательщика</t>
  </si>
  <si>
    <t>на</t>
  </si>
  <si>
    <t>Дата представления декларации</t>
  </si>
  <si>
    <t>Зарегистрирована за №</t>
  </si>
  <si>
    <t>(наименование организации - представителя налогоплательщика)</t>
  </si>
  <si>
    <t>Подпись</t>
  </si>
  <si>
    <t>Дата</t>
  </si>
  <si>
    <t>Наименование документа,</t>
  </si>
  <si>
    <t>подтверждающего полномочия представителя</t>
  </si>
  <si>
    <t>010</t>
  </si>
  <si>
    <t>Код строки</t>
  </si>
  <si>
    <t>Показатели</t>
  </si>
  <si>
    <t>020</t>
  </si>
  <si>
    <t>030</t>
  </si>
  <si>
    <t>Достоверность и полноту сведений, указанных на данной странице, подтверждаю:</t>
  </si>
  <si>
    <t xml:space="preserve"> (подпись)</t>
  </si>
  <si>
    <t xml:space="preserve"> (дата)</t>
  </si>
  <si>
    <t>040</t>
  </si>
  <si>
    <t>050</t>
  </si>
  <si>
    <t>060</t>
  </si>
  <si>
    <t>070</t>
  </si>
  <si>
    <t>080</t>
  </si>
  <si>
    <t>090</t>
  </si>
  <si>
    <t>0</t>
  </si>
  <si>
    <t>1</t>
  </si>
  <si>
    <t>по данным налогоплательщика</t>
  </si>
  <si>
    <r>
      <t>по месту нахождения (учета)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</si>
  <si>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001</t>
  </si>
  <si>
    <t>Форма по КНД 1152017</t>
  </si>
  <si>
    <t>Налоговая декларация по налогу, уплачиваемому</t>
  </si>
  <si>
    <t>в связи с применением упрощенной системы налогообложения</t>
  </si>
  <si>
    <t>Ставка налога (%)</t>
  </si>
  <si>
    <t>-</t>
  </si>
  <si>
    <t>3</t>
  </si>
  <si>
    <t>4</t>
  </si>
  <si>
    <t>2</t>
  </si>
  <si>
    <t xml:space="preserve">Форма реорганизации,  </t>
  </si>
  <si>
    <t>ликвидация(код)</t>
  </si>
  <si>
    <t>/</t>
  </si>
  <si>
    <t>ИНН/КПП реорганизованной</t>
  </si>
  <si>
    <t>организации</t>
  </si>
  <si>
    <t>(фамилия, имя, отчество* полностью)</t>
  </si>
  <si>
    <t>* - отчество при наличии.</t>
  </si>
  <si>
    <t>Фамилия, И.О.*</t>
  </si>
  <si>
    <t>Раздел 1.1. Сумма налога (авансового платежа по налогу), уплачиваемого в связи с применением упрощенной</t>
  </si>
  <si>
    <t>Код по ОКТМО</t>
  </si>
  <si>
    <t>Сумма авансового платежа к уплате по сроку не позднее</t>
  </si>
  <si>
    <t>двадцать пятого апреля отчетного года</t>
  </si>
  <si>
    <t>Значения показателей (в рублях)</t>
  </si>
  <si>
    <t>двадцать пятого июля отчетного года</t>
  </si>
  <si>
    <t>Сумма налога, подлежащая доплате за налоговый</t>
  </si>
  <si>
    <t>период ( календарный год ) по сроку *</t>
  </si>
  <si>
    <t>100</t>
  </si>
  <si>
    <t>110</t>
  </si>
  <si>
    <t>*  для организаций - не познее 31.03 года, следующего за истекшим налоговым периодом;</t>
  </si>
  <si>
    <t>для индивидуальных предпринимателей - не позднее 30.04 года, следующего за истекшим налоговым периодом</t>
  </si>
  <si>
    <t>системы налогообложения (объек налогообложения-доходы), подлежащая уплате (уменьшению),</t>
  </si>
  <si>
    <t xml:space="preserve">Объект налогообложения                                                                                        
1 - доходы
</t>
  </si>
  <si>
    <t>120</t>
  </si>
  <si>
    <t>(объект налогообложения - доходы)</t>
  </si>
  <si>
    <t>101</t>
  </si>
  <si>
    <t>Признак налогоплательщика:</t>
  </si>
  <si>
    <t>вознаграждения физическим лицам;</t>
  </si>
  <si>
    <t>2- индивидуальный предприниматель, не производящий</t>
  </si>
  <si>
    <t>выплаты и иные вознаграждения физическим лицам</t>
  </si>
  <si>
    <t>1- налогоплательщик,производящий выплаты и иные</t>
  </si>
  <si>
    <t>Сумма полученных доходов (налоговая база для исчисления</t>
  </si>
  <si>
    <t>налога (авансового платежа по налогу)) нарастающим итогом:</t>
  </si>
  <si>
    <t>за первый квартал</t>
  </si>
  <si>
    <t>за полугодие</t>
  </si>
  <si>
    <t>111</t>
  </si>
  <si>
    <t>за девять месяцев</t>
  </si>
  <si>
    <t>112</t>
  </si>
  <si>
    <t>за налоговый период</t>
  </si>
  <si>
    <t>113</t>
  </si>
  <si>
    <t>Сумма исчисленного налога (авансового платежа по налогу):</t>
  </si>
  <si>
    <t>(стр.110 х стр.120 / 100 )</t>
  </si>
  <si>
    <t>130</t>
  </si>
  <si>
    <t>(стр.111 х стр.120 / 100 )</t>
  </si>
  <si>
    <t>131</t>
  </si>
  <si>
    <t>(стр.112 х стр.120 / 100 )</t>
  </si>
  <si>
    <t>(стр.113 х стр.120 / 100 )</t>
  </si>
  <si>
    <t>132</t>
  </si>
  <si>
    <t>133</t>
  </si>
  <si>
    <t>Сумма страховых взносов, выплаченных работникам</t>
  </si>
  <si>
    <t>пособий по временной нетрудоспособности и платежей</t>
  </si>
  <si>
    <t>(взносов) по договорам добровольного личного</t>
  </si>
  <si>
    <t>страхования (нарастающим итогом), предусмотренных</t>
  </si>
  <si>
    <t>пунктом 3.1 статьи 346.21 Кодекса, уменьшающая сумму</t>
  </si>
  <si>
    <t>исчисленного за налоговый (отчетный) период налога</t>
  </si>
  <si>
    <t>(авансового платежа по налогу):</t>
  </si>
  <si>
    <t>для стр.102 = "1" : стр.140 &lt;= стр.130/2</t>
  </si>
  <si>
    <t>для стр.102 = "2" : стр.140 &lt;= стр.130</t>
  </si>
  <si>
    <t>140</t>
  </si>
  <si>
    <t>для стр.102 = "1" : стр.141 &lt;= стр.131/2</t>
  </si>
  <si>
    <t>для стр.102 = "2" : стр.141 &lt;= стр.131</t>
  </si>
  <si>
    <t>141</t>
  </si>
  <si>
    <t>142</t>
  </si>
  <si>
    <t>для стр.102 = "1" : стр.142 &lt;= стр.132/2</t>
  </si>
  <si>
    <t>для стр.102 = "2" : стр.142 &lt;= стр.132</t>
  </si>
  <si>
    <t>для стр.102 = "1" : стр.143 &lt;= стр.133/2</t>
  </si>
  <si>
    <t>для стр.102 = "2" : стр.143 &lt;= стр.133</t>
  </si>
  <si>
    <t>143</t>
  </si>
  <si>
    <t>102</t>
  </si>
  <si>
    <t>Приложение № 1
к приказу ФНС России 
от 26.02.2016 № ММВ-7-3/99@</t>
  </si>
  <si>
    <t>Фамилия, И.О.</t>
  </si>
  <si>
    <t>(стр.130 - стр.140 )разд. 2.1.1 - стр.160 разд.2.1.2,                                                                                                                                                                                                                                                           если (стр.130-стр.140) разд.2.1.1 - стр. 160 разд.2.1.2 &gt;= 0</t>
  </si>
  <si>
    <t>( стр.131 - стр.141 ) разд.2.1.1 - стр.161 разд.2.1.2 - стр.020, если</t>
  </si>
  <si>
    <t>( стр.131 - стр.141 ) разд.2.1.1 - стр.161 разд.2.1.2  -  стр.020  &gt;= 0</t>
  </si>
  <si>
    <t>Сумма авансового платежа к уменьшению по сроку не познее                                                                                                                                                                                                                      двадцать пятого июля отчетного года</t>
  </si>
  <si>
    <t>стр.020 - ((стр.131 - стр.141 ) разд.2.1.1 - стр.161 разд.2.1.2), если</t>
  </si>
  <si>
    <t>( стр.131 - стр.141 ) разд.2.1.1 - стр.161 разд.2.1.2 -  стр.020  &lt; 0</t>
  </si>
  <si>
    <t xml:space="preserve">Сумма авансового платежа к уплате по сроку не позднее               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 </t>
  </si>
  <si>
    <t xml:space="preserve">(стр.132 - стр.142 ) разд.2.1.1 - стр.162 разд.2.1.2  - </t>
  </si>
  <si>
    <t>( стр.020 + стр.040 - стр.050 ), если (стр.132 - стр.142) разд.2.1.1 -</t>
  </si>
  <si>
    <t>стр.162 разд.2.1.2  - ( стр.020 + стр.040 - стр.050 ) &gt;= 0</t>
  </si>
  <si>
    <t>Сумма авансового платежа к уменьшению по сроку не позднее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</t>
  </si>
  <si>
    <t>( стр.020 + стр.040 - стр.050 ) - (( стр.132 - стр.142 ) разд.2.1.1 - стр.162 разд.</t>
  </si>
  <si>
    <t>2.1.2), если (стр.132 - стр.142 ) разд.2.1.1 - стр.162 разд.2.1.2 - ( стр.020 + стр.040 - стр.050 ) &lt; 0</t>
  </si>
  <si>
    <t>стр.040 - стр.050 ) &lt; 0</t>
  </si>
  <si>
    <t>(стр.020 + стр.040 - стр.050 + стр.070 - стр.080), если</t>
  </si>
  <si>
    <t>(стр.133 - стр.143) разд.2.1.1 - 163 разд.2.1.2  -                                                                                                                                                                                                                                                                 (стр.020 + стр.040 - стр.050 + стр.070 - стр.080) &gt;= 0</t>
  </si>
  <si>
    <t xml:space="preserve">(стр.133 - стр.143) разд.2.1.1 - стр.163 разд.2.1.2 - </t>
  </si>
  <si>
    <t>Сумма налога к уменьшению  налоговый период                                                                                                                                                                                                                                                 (календарный год) по сроку *</t>
  </si>
  <si>
    <t>разд.2.1.2 - (стр.020 + стр.040 - стр.050 + стр.070 - стр.080 ) &lt; 0</t>
  </si>
  <si>
    <t>(стр.020 + стр.040 - стр.050 + стр.070 - стр.080 ) - (( стр.133 - стр.143 )</t>
  </si>
  <si>
    <t xml:space="preserve">разд.2.1.1 - стр.163 разд.2.1.2), если (стр.133 - стр.143) разд.2.1.1 - стр.163 </t>
  </si>
  <si>
    <t>Раздел 2.1.1. Расчет налога, уплачиваемого в связи с применением упрощенной системы налогообложения,</t>
  </si>
  <si>
    <t>121</t>
  </si>
  <si>
    <t>122</t>
  </si>
  <si>
    <t>123</t>
  </si>
  <si>
    <t>6</t>
  </si>
  <si>
    <t>8</t>
  </si>
  <si>
    <t>7</t>
  </si>
  <si>
    <t>5</t>
  </si>
  <si>
    <t>А</t>
  </si>
  <si>
    <t>В</t>
  </si>
  <si>
    <t>Е</t>
  </si>
  <si>
    <t>Я</t>
  </si>
  <si>
    <t>О</t>
  </si>
  <si>
    <t>Л</t>
  </si>
  <si>
    <t>И</t>
  </si>
  <si>
    <t>Т</t>
  </si>
  <si>
    <t>Ч</t>
  </si>
  <si>
    <t>9</t>
  </si>
  <si>
    <t>+</t>
  </si>
  <si>
    <t>Grand Total</t>
  </si>
  <si>
    <t>Sum of IncomeValue</t>
  </si>
  <si>
    <t>Year</t>
  </si>
  <si>
    <t xml:space="preserve"> </t>
  </si>
  <si>
    <t>Quartal</t>
  </si>
  <si>
    <t>Q1</t>
  </si>
  <si>
    <t>Q2</t>
  </si>
  <si>
    <t>Сумма полученных доходов</t>
  </si>
  <si>
    <t>Date</t>
  </si>
  <si>
    <t>IncomeUsd</t>
  </si>
  <si>
    <t>ExchangeValue</t>
  </si>
  <si>
    <t>ExchangeRate</t>
  </si>
  <si>
    <t>Q3</t>
  </si>
  <si>
    <t>Q4</t>
  </si>
  <si>
    <t>Сумма страховых взносов</t>
  </si>
  <si>
    <t>Сумма уплаченного налога за вычетом страховых взносов</t>
  </si>
  <si>
    <t>Income RUR</t>
  </si>
  <si>
    <t>1% налога на сумму превышающую 300 000</t>
  </si>
  <si>
    <t>Ф</t>
  </si>
  <si>
    <t>М</t>
  </si>
  <si>
    <t>С</t>
  </si>
  <si>
    <t>ExchangeDate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</si>
</sst>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.00;\(\$#,##0.00\);\$#,##0.00"/>
    <numFmt numFmtId="165" formatCode="&quot;$&quot;#,##0.00"/>
    <numFmt numFmtId="166" formatCode="&quot;$&quot;#,##0.0000"/>
    <numFmt numFmtId="167" formatCode="#,##0.00\ [$₽-419]"/>
  </numFmts>
  <fonts count="27" x14ac:knownFonts="1">
    <font>
      <sz val="10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Courier New"/>
      <family val="3"/>
      <charset val="204"/>
    </font>
    <font>
      <sz val="11"/>
      <name val="Arial"/>
      <family val="2"/>
      <charset val="204"/>
    </font>
    <font>
      <sz val="8"/>
      <name val="Arial Cyr"/>
      <family val="2"/>
      <charset val="204"/>
    </font>
    <font>
      <sz val="7"/>
      <name val="Arial"/>
      <family val="2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b/>
      <sz val="11"/>
      <name val="Arial"/>
      <family val="2"/>
      <charset val="204"/>
    </font>
    <font>
      <sz val="8.5"/>
      <name val="Arial"/>
      <family val="2"/>
      <charset val="204"/>
    </font>
    <font>
      <sz val="7.5"/>
      <name val="Arial"/>
      <family val="2"/>
      <charset val="204"/>
    </font>
    <font>
      <sz val="5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b/>
      <sz val="12"/>
      <name val="Arial"/>
      <family val="2"/>
      <charset val="204"/>
    </font>
    <font>
      <sz val="9"/>
      <name val="Arial Cyr"/>
      <family val="2"/>
      <charset val="204"/>
    </font>
    <font>
      <b/>
      <sz val="9.5"/>
      <name val="Arial"/>
      <family val="2"/>
      <charset val="204"/>
    </font>
    <font>
      <i/>
      <sz val="9"/>
      <name val="Arial"/>
      <family val="2"/>
      <charset val="204"/>
    </font>
    <font>
      <sz val="16"/>
      <name val="Courier New"/>
      <family val="3"/>
      <charset val="204"/>
    </font>
    <font>
      <b/>
      <sz val="8.5"/>
      <name val="Arial"/>
      <family val="2"/>
      <charset val="204"/>
    </font>
    <font>
      <i/>
      <sz val="8"/>
      <name val="Arial"/>
      <family val="2"/>
      <charset val="204"/>
    </font>
    <font>
      <sz val="8"/>
      <name val="Arial Cyr"/>
      <charset val="204"/>
    </font>
    <font>
      <sz val="10"/>
      <color rgb="FF000000"/>
      <name val="Arial Cyr"/>
    </font>
    <font>
      <b/>
      <sz val="11"/>
      <color theme="0"/>
      <name val="Calibri"/>
      <family val="2"/>
      <scheme val="minor"/>
    </font>
    <font>
      <sz val="14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dotted">
        <color indexed="55"/>
      </top>
      <bottom style="dotted">
        <color indexed="55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95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15" fillId="2" borderId="0" xfId="0" applyFont="1" applyFill="1"/>
    <xf numFmtId="0" fontId="2" fillId="3" borderId="0" xfId="0" applyFont="1" applyFill="1" applyBorder="1"/>
    <xf numFmtId="0" fontId="2" fillId="3" borderId="0" xfId="0" applyFont="1" applyFill="1"/>
    <xf numFmtId="0" fontId="2" fillId="3" borderId="0" xfId="0" applyFont="1" applyFill="1" applyBorder="1" applyAlignment="1">
      <alignment horizontal="left" vertical="top" wrapText="1" indent="3"/>
    </xf>
    <xf numFmtId="0" fontId="7" fillId="3" borderId="0" xfId="0" applyFont="1" applyFill="1" applyBorder="1" applyAlignment="1">
      <alignment horizontal="left" vertical="top" wrapText="1" indent="2"/>
    </xf>
    <xf numFmtId="0" fontId="12" fillId="3" borderId="0" xfId="0" applyFont="1" applyFill="1" applyBorder="1" applyAlignment="1">
      <alignment horizontal="right" vertical="top"/>
    </xf>
    <xf numFmtId="0" fontId="6" fillId="3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/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/>
    <xf numFmtId="0" fontId="15" fillId="3" borderId="0" xfId="0" applyFont="1" applyFill="1"/>
    <xf numFmtId="49" fontId="2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/>
    <xf numFmtId="0" fontId="14" fillId="3" borderId="0" xfId="0" applyFont="1" applyFill="1" applyBorder="1" applyAlignment="1">
      <alignment horizontal="right"/>
    </xf>
    <xf numFmtId="0" fontId="15" fillId="3" borderId="1" xfId="0" applyFont="1" applyFill="1" applyBorder="1"/>
    <xf numFmtId="0" fontId="15" fillId="3" borderId="0" xfId="0" applyFont="1" applyFill="1" applyBorder="1"/>
    <xf numFmtId="0" fontId="15" fillId="3" borderId="2" xfId="0" applyFont="1" applyFill="1" applyBorder="1"/>
    <xf numFmtId="0" fontId="15" fillId="3" borderId="0" xfId="0" applyFont="1" applyFill="1" applyBorder="1" applyAlignment="1">
      <alignment horizontal="right" vertical="center"/>
    </xf>
    <xf numFmtId="0" fontId="15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0" fontId="0" fillId="3" borderId="2" xfId="0" applyFill="1" applyBorder="1"/>
    <xf numFmtId="0" fontId="0" fillId="3" borderId="0" xfId="0" applyFill="1" applyBorder="1"/>
    <xf numFmtId="0" fontId="17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3" borderId="0" xfId="0" applyFont="1" applyFill="1" applyBorder="1"/>
    <xf numFmtId="0" fontId="19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3" borderId="0" xfId="0" applyFont="1" applyFill="1"/>
    <xf numFmtId="0" fontId="22" fillId="3" borderId="0" xfId="0" applyFont="1" applyFill="1" applyBorder="1" applyAlignment="1">
      <alignment horizontal="right"/>
    </xf>
    <xf numFmtId="0" fontId="19" fillId="3" borderId="0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9" fillId="0" borderId="0" xfId="0" applyFont="1" applyFill="1" applyBorder="1" applyAlignment="1">
      <alignment horizontal="center" vertical="center"/>
    </xf>
    <xf numFmtId="0" fontId="15" fillId="2" borderId="0" xfId="0" applyFont="1" applyFill="1" applyBorder="1"/>
    <xf numFmtId="0" fontId="15" fillId="5" borderId="0" xfId="0" applyFont="1" applyFill="1" applyBorder="1"/>
    <xf numFmtId="0" fontId="2" fillId="5" borderId="0" xfId="0" applyFont="1" applyFill="1" applyBorder="1"/>
    <xf numFmtId="0" fontId="4" fillId="5" borderId="0" xfId="0" applyFont="1" applyFill="1" applyBorder="1"/>
    <xf numFmtId="0" fontId="0" fillId="5" borderId="0" xfId="0" applyFill="1" applyBorder="1"/>
    <xf numFmtId="0" fontId="15" fillId="6" borderId="0" xfId="0" applyFont="1" applyFill="1" applyBorder="1"/>
    <xf numFmtId="0" fontId="1" fillId="5" borderId="0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2" fillId="3" borderId="0" xfId="0" applyFont="1" applyFill="1" applyBorder="1" applyAlignment="1"/>
    <xf numFmtId="49" fontId="20" fillId="3" borderId="0" xfId="0" applyNumberFormat="1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5" fillId="7" borderId="0" xfId="0" applyFont="1" applyFill="1" applyBorder="1" applyAlignment="1">
      <alignment horizontal="right"/>
    </xf>
    <xf numFmtId="49" fontId="20" fillId="0" borderId="0" xfId="0" applyNumberFormat="1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2" fillId="3" borderId="0" xfId="0" applyFont="1" applyFill="1" applyBorder="1" applyAlignment="1"/>
    <xf numFmtId="0" fontId="15" fillId="3" borderId="0" xfId="0" applyFont="1" applyFill="1" applyBorder="1" applyAlignment="1"/>
    <xf numFmtId="0" fontId="15" fillId="3" borderId="0" xfId="0" applyFont="1" applyFill="1" applyAlignment="1">
      <alignment horizontal="center"/>
    </xf>
    <xf numFmtId="0" fontId="6" fillId="3" borderId="0" xfId="0" applyFont="1" applyFill="1" applyBorder="1" applyAlignment="1">
      <alignment horizontal="right" vertical="top" wrapText="1"/>
    </xf>
    <xf numFmtId="0" fontId="5" fillId="7" borderId="0" xfId="0" applyFont="1" applyFill="1" applyBorder="1"/>
    <xf numFmtId="0" fontId="2" fillId="7" borderId="0" xfId="0" applyFont="1" applyFill="1" applyBorder="1" applyAlignment="1">
      <alignment vertical="center"/>
    </xf>
    <xf numFmtId="0" fontId="2" fillId="7" borderId="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vertical="top"/>
    </xf>
    <xf numFmtId="0" fontId="15" fillId="7" borderId="0" xfId="0" applyFont="1" applyFill="1" applyBorder="1"/>
    <xf numFmtId="49" fontId="20" fillId="7" borderId="0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25" fillId="8" borderId="22" xfId="0" applyNumberFormat="1" applyFont="1" applyFill="1" applyBorder="1"/>
    <xf numFmtId="165" fontId="25" fillId="8" borderId="23" xfId="0" applyNumberFormat="1" applyFont="1" applyFill="1" applyBorder="1"/>
    <xf numFmtId="14" fontId="25" fillId="8" borderId="23" xfId="0" applyNumberFormat="1" applyFont="1" applyFill="1" applyBorder="1"/>
    <xf numFmtId="166" fontId="25" fillId="8" borderId="24" xfId="0" applyNumberFormat="1" applyFont="1" applyFill="1" applyBorder="1"/>
    <xf numFmtId="14" fontId="0" fillId="0" borderId="0" xfId="0" applyNumberFormat="1"/>
    <xf numFmtId="0" fontId="26" fillId="0" borderId="0" xfId="0" applyFont="1"/>
    <xf numFmtId="165" fontId="0" fillId="0" borderId="0" xfId="0" applyNumberFormat="1"/>
    <xf numFmtId="167" fontId="0" fillId="0" borderId="0" xfId="0" applyNumberFormat="1"/>
    <xf numFmtId="49" fontId="20" fillId="3" borderId="3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7" borderId="0" xfId="0" applyFont="1" applyFill="1" applyBorder="1" applyAlignment="1">
      <alignment horizontal="right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49" fontId="20" fillId="3" borderId="4" xfId="0" applyNumberFormat="1" applyFont="1" applyFill="1" applyBorder="1" applyAlignment="1">
      <alignment horizontal="center" vertical="center"/>
    </xf>
    <xf numFmtId="49" fontId="20" fillId="3" borderId="5" xfId="0" applyNumberFormat="1" applyFont="1" applyFill="1" applyBorder="1" applyAlignment="1">
      <alignment horizontal="center" vertical="center"/>
    </xf>
    <xf numFmtId="49" fontId="20" fillId="3" borderId="6" xfId="0" applyNumberFormat="1" applyFont="1" applyFill="1" applyBorder="1" applyAlignment="1">
      <alignment horizontal="center" vertical="center"/>
    </xf>
    <xf numFmtId="49" fontId="20" fillId="3" borderId="7" xfId="0" applyNumberFormat="1" applyFont="1" applyFill="1" applyBorder="1" applyAlignment="1">
      <alignment horizontal="center" vertical="center"/>
    </xf>
    <xf numFmtId="49" fontId="20" fillId="3" borderId="8" xfId="0" applyNumberFormat="1" applyFont="1" applyFill="1" applyBorder="1" applyAlignment="1">
      <alignment horizontal="center" vertical="center"/>
    </xf>
    <xf numFmtId="49" fontId="20" fillId="3" borderId="9" xfId="0" applyNumberFormat="1" applyFont="1" applyFill="1" applyBorder="1" applyAlignment="1">
      <alignment horizontal="center" vertical="center"/>
    </xf>
    <xf numFmtId="49" fontId="20" fillId="7" borderId="0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15" fillId="3" borderId="13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center" wrapText="1"/>
    </xf>
    <xf numFmtId="49" fontId="20" fillId="3" borderId="0" xfId="0" applyNumberFormat="1" applyFont="1" applyFill="1" applyBorder="1" applyAlignment="1">
      <alignment horizontal="center"/>
    </xf>
    <xf numFmtId="49" fontId="20" fillId="3" borderId="1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49" fontId="20" fillId="3" borderId="10" xfId="0" applyNumberFormat="1" applyFont="1" applyFill="1" applyBorder="1" applyAlignment="1">
      <alignment horizontal="center" vertical="center"/>
    </xf>
    <xf numFmtId="49" fontId="20" fillId="3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wrapText="1"/>
    </xf>
    <xf numFmtId="0" fontId="15" fillId="3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15" fillId="3" borderId="0" xfId="0" applyFont="1" applyFill="1" applyBorder="1" applyAlignment="1">
      <alignment vertical="center"/>
    </xf>
    <xf numFmtId="0" fontId="15" fillId="3" borderId="13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horizontal="right" vertical="center" wrapText="1"/>
    </xf>
    <xf numFmtId="0" fontId="13" fillId="3" borderId="15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49" fontId="20" fillId="3" borderId="16" xfId="0" applyNumberFormat="1" applyFont="1" applyFill="1" applyBorder="1" applyAlignment="1">
      <alignment horizontal="center" vertical="center"/>
    </xf>
    <xf numFmtId="49" fontId="20" fillId="3" borderId="17" xfId="0" applyNumberFormat="1" applyFont="1" applyFill="1" applyBorder="1" applyAlignment="1">
      <alignment horizontal="center" vertical="center"/>
    </xf>
    <xf numFmtId="49" fontId="20" fillId="3" borderId="18" xfId="0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3" borderId="11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right" vertical="top" wrapText="1"/>
    </xf>
    <xf numFmtId="0" fontId="2" fillId="7" borderId="0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 vertical="center"/>
    </xf>
    <xf numFmtId="49" fontId="20" fillId="0" borderId="4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49" fontId="20" fillId="0" borderId="6" xfId="0" applyNumberFormat="1" applyFont="1" applyFill="1" applyBorder="1" applyAlignment="1">
      <alignment horizontal="center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0" borderId="8" xfId="0" applyNumberFormat="1" applyFont="1" applyFill="1" applyBorder="1" applyAlignment="1">
      <alignment horizontal="center" vertical="center"/>
    </xf>
    <xf numFmtId="49" fontId="20" fillId="0" borderId="9" xfId="0" applyNumberFormat="1" applyFont="1" applyFill="1" applyBorder="1" applyAlignment="1">
      <alignment horizontal="center" vertical="center"/>
    </xf>
    <xf numFmtId="49" fontId="20" fillId="0" borderId="3" xfId="0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 wrapText="1"/>
    </xf>
    <xf numFmtId="0" fontId="19" fillId="3" borderId="0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wrapText="1"/>
    </xf>
    <xf numFmtId="0" fontId="18" fillId="3" borderId="0" xfId="0" applyFont="1" applyFill="1" applyBorder="1" applyAlignment="1">
      <alignment horizontal="center"/>
    </xf>
    <xf numFmtId="0" fontId="20" fillId="3" borderId="3" xfId="0" applyNumberFormat="1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0" fontId="20" fillId="3" borderId="4" xfId="0" applyNumberFormat="1" applyFont="1" applyFill="1" applyBorder="1" applyAlignment="1">
      <alignment horizontal="center" vertical="center"/>
    </xf>
    <xf numFmtId="0" fontId="20" fillId="3" borderId="5" xfId="0" applyNumberFormat="1" applyFont="1" applyFill="1" applyBorder="1" applyAlignment="1">
      <alignment horizontal="center" vertical="center"/>
    </xf>
    <xf numFmtId="0" fontId="20" fillId="3" borderId="6" xfId="0" applyNumberFormat="1" applyFont="1" applyFill="1" applyBorder="1" applyAlignment="1">
      <alignment horizontal="center" vertical="center"/>
    </xf>
    <xf numFmtId="0" fontId="20" fillId="3" borderId="7" xfId="0" applyNumberFormat="1" applyFont="1" applyFill="1" applyBorder="1" applyAlignment="1">
      <alignment horizontal="center" vertical="center"/>
    </xf>
    <xf numFmtId="0" fontId="20" fillId="3" borderId="8" xfId="0" applyNumberFormat="1" applyFont="1" applyFill="1" applyBorder="1" applyAlignment="1">
      <alignment horizontal="center" vertical="center"/>
    </xf>
    <xf numFmtId="0" fontId="20" fillId="3" borderId="9" xfId="0" applyNumberFormat="1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0" fontId="15" fillId="4" borderId="20" xfId="0" applyFont="1" applyFill="1" applyBorder="1" applyAlignment="1">
      <alignment horizontal="center"/>
    </xf>
    <xf numFmtId="0" fontId="15" fillId="3" borderId="0" xfId="0" applyFont="1" applyFill="1" applyBorder="1" applyAlignment="1"/>
    <xf numFmtId="0" fontId="15" fillId="7" borderId="0" xfId="0" applyFont="1" applyFill="1" applyBorder="1"/>
    <xf numFmtId="0" fontId="2" fillId="7" borderId="0" xfId="0" applyFont="1" applyFill="1" applyBorder="1"/>
    <xf numFmtId="0" fontId="15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wrapText="1"/>
    </xf>
    <xf numFmtId="0" fontId="15" fillId="3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vertical="top" wrapText="1"/>
    </xf>
    <xf numFmtId="0" fontId="18" fillId="7" borderId="0" xfId="0" applyFont="1" applyFill="1" applyBorder="1" applyAlignment="1">
      <alignment horizontal="center"/>
    </xf>
    <xf numFmtId="49" fontId="20" fillId="0" borderId="21" xfId="0" applyNumberFormat="1" applyFont="1" applyFill="1" applyBorder="1" applyAlignment="1">
      <alignment horizontal="center" vertical="center"/>
    </xf>
    <xf numFmtId="49" fontId="20" fillId="0" borderId="16" xfId="0" applyNumberFormat="1" applyFont="1" applyFill="1" applyBorder="1" applyAlignment="1">
      <alignment horizontal="center" vertical="center"/>
    </xf>
    <xf numFmtId="49" fontId="20" fillId="0" borderId="17" xfId="0" applyNumberFormat="1" applyFont="1" applyFill="1" applyBorder="1" applyAlignment="1">
      <alignment horizontal="center" vertical="center"/>
    </xf>
    <xf numFmtId="49" fontId="20" fillId="0" borderId="18" xfId="0" applyNumberFormat="1" applyFont="1" applyFill="1" applyBorder="1" applyAlignment="1">
      <alignment horizontal="center" vertical="center"/>
    </xf>
    <xf numFmtId="49" fontId="2" fillId="7" borderId="0" xfId="0" applyNumberFormat="1" applyFont="1" applyFill="1" applyBorder="1" applyAlignment="1">
      <alignment horizontal="center" vertical="center"/>
    </xf>
    <xf numFmtId="49" fontId="20" fillId="7" borderId="3" xfId="0" applyNumberFormat="1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vertical="center"/>
    </xf>
    <xf numFmtId="0" fontId="15" fillId="7" borderId="0" xfId="0" applyFont="1" applyFill="1"/>
    <xf numFmtId="0" fontId="15" fillId="3" borderId="0" xfId="0" applyFont="1" applyFill="1" applyBorder="1" applyAlignment="1">
      <alignment vertical="center" wrapText="1"/>
    </xf>
    <xf numFmtId="0" fontId="15" fillId="7" borderId="0" xfId="0" applyFont="1" applyFill="1" applyAlignment="1">
      <alignment horizontal="left"/>
    </xf>
    <xf numFmtId="0" fontId="15" fillId="7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noThreeD="1" sel="2" val="0">
  <itemLst>
    <item val="2019"/>
    <item val="2020"/>
    <item val="2021"/>
  </itemLst>
</formControlPr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7620</xdr:rowOff>
    </xdr:from>
    <xdr:to>
      <xdr:col>23</xdr:col>
      <xdr:colOff>22860</xdr:colOff>
      <xdr:row>4</xdr:row>
      <xdr:rowOff>30480</xdr:rowOff>
    </xdr:to>
    <xdr:pic>
      <xdr:nvPicPr>
        <xdr:cNvPr id="2277" name="Рисунок 2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" y="7620"/>
          <a:ext cx="102108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</xdr:colOff>
      <xdr:row>0</xdr:row>
      <xdr:rowOff>0</xdr:rowOff>
    </xdr:from>
    <xdr:to>
      <xdr:col>22</xdr:col>
      <xdr:colOff>0</xdr:colOff>
      <xdr:row>4</xdr:row>
      <xdr:rowOff>15240</xdr:rowOff>
    </xdr:to>
    <xdr:pic>
      <xdr:nvPicPr>
        <xdr:cNvPr id="1250" name="Рисунок 1">
          <a:extLst>
            <a:ext uri="{FF2B5EF4-FFF2-40B4-BE49-F238E27FC236}">
              <a16:creationId xmlns:a16="http://schemas.microsoft.com/office/drawing/2014/main" id="{00000000-0008-0000-01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" y="0"/>
          <a:ext cx="96774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</xdr:colOff>
      <xdr:row>0</xdr:row>
      <xdr:rowOff>0</xdr:rowOff>
    </xdr:from>
    <xdr:to>
      <xdr:col>22</xdr:col>
      <xdr:colOff>53340</xdr:colOff>
      <xdr:row>4</xdr:row>
      <xdr:rowOff>0</xdr:rowOff>
    </xdr:to>
    <xdr:pic>
      <xdr:nvPicPr>
        <xdr:cNvPr id="6294" name="Рисунок 1">
          <a:extLst>
            <a:ext uri="{FF2B5EF4-FFF2-40B4-BE49-F238E27FC236}">
              <a16:creationId xmlns:a16="http://schemas.microsoft.com/office/drawing/2014/main" id="{00000000-0008-0000-0200-00009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975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32657</xdr:colOff>
          <xdr:row>1</xdr:row>
          <xdr:rowOff>5443</xdr:rowOff>
        </xdr:from>
        <xdr:to>
          <xdr:col>3</xdr:col>
          <xdr:colOff>244929</xdr:colOff>
          <xdr:row>2</xdr:row>
          <xdr:rowOff>146957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Refresh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16329</xdr:colOff>
          <xdr:row>4</xdr:row>
          <xdr:rowOff>70757</xdr:rowOff>
        </xdr:from>
        <xdr:to>
          <xdr:col>3</xdr:col>
          <xdr:colOff>223157</xdr:colOff>
          <xdr:row>6</xdr:row>
          <xdr:rowOff>32657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38100</xdr:rowOff>
        </xdr:from>
        <xdr:to>
          <xdr:col>8</xdr:col>
          <xdr:colOff>288471</xdr:colOff>
          <xdr:row>6</xdr:row>
          <xdr:rowOff>21771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Fill 3-НДФЛ form from selected year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ul" refreshedDate="44276.803587152775" createdVersion="5" refreshedVersion="6" minRefreshableVersion="3" recordCount="0" supportSubquery="1" supportAdvancedDrill="1" xr:uid="{00000000-000A-0000-FFFF-FFFF27000000}">
  <cacheSource type="external" connectionId="2"/>
  <cacheFields count="3">
    <cacheField name="[DimDate].[CalendarQuarter].[CalendarQuarter]" caption="CalendarQuarter" numFmtId="0" hierarchy="7" level="1">
      <sharedItems containsSemiMixedTypes="0" containsNonDate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imDate].[CalendarQuarter].&amp;[1]"/>
          </x15:cachedUniqueNames>
        </ext>
      </extLst>
    </cacheField>
    <cacheField name="[Measures].[Sum of IncomeValue]" caption="Sum of IncomeValue" numFmtId="0" hierarchy="26" level="32767"/>
    <cacheField name="[DimDate].[CalendarYear].[CalendarYear]" caption="CalendarYear" numFmtId="0" hierarchy="8" level="1">
      <sharedItems containsSemiMixedTypes="0" containsString="0" containsNumber="1" containsInteger="1" minValue="2019" maxValue="2021" count="3">
        <n v="2019"/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DimDate].[CalendarYear].&amp;[2019]"/>
            <x15:cachedUniqueName index="1" name="[DimDate].[CalendarYear].&amp;[2020]"/>
            <x15:cachedUniqueName index="2" name="[DimDate].[CalendarYear].&amp;[2021]"/>
          </x15:cachedUniqueNames>
        </ext>
      </extLst>
    </cacheField>
  </cacheFields>
  <cacheHierarchies count="27">
    <cacheHierarchy uniqueName="[DimDate].[DateID]" caption="DateID" attribute="1" defaultMemberUniqueName="[DimDate].[DateID].[All]" allUniqueName="[DimDate].[DateID].[All]" dimensionUniqueName="[DimDate]" displayFolder="" count="0" memberValueDatatype="20" unbalanced="0"/>
    <cacheHierarchy uniqueName="[DimDate].[FullDateAlternateKey]" caption="FullDateAlternateKey" attribute="1" time="1" defaultMemberUniqueName="[DimDate].[FullDateAlternateKey].[All]" allUniqueName="[DimDate].[FullDateAlternateKey].[All]" dimensionUniqueName="[DimDate]" displayFolder="" count="0" memberValueDatatype="7" unbalanced="0"/>
    <cacheHierarchy uniqueName="[DimDate].[DayNumberOfYear]" caption="DayNumberOfYear" attribute="1" defaultMemberUniqueName="[DimDate].[DayNumberOfYear].[All]" allUniqueName="[DimDate].[DayNumberOfYear].[All]" dimensionUniqueName="[DimDate]" displayFolder="" count="0" memberValueDatatype="20" unbalanced="0"/>
    <cacheHierarchy uniqueName="[DimDate].[DayNumberOfMonth]" caption="DayNumberOfMonth" attribute="1" defaultMemberUniqueName="[DimDate].[DayNumberOfMonth].[All]" allUniqueName="[DimDate].[DayNumberOfMonth].[All]" dimensionUniqueName="[DimDate]" displayFolder="" count="0" memberValueDatatype="20" unbalanced="0"/>
    <cacheHierarchy uniqueName="[DimDate].[DayNumberOfQuarter]" caption="DayNumberOfQuarter" attribute="1" defaultMemberUniqueName="[DimDate].[DayNumberOfQuarter].[All]" allUniqueName="[DimDate].[DayNumberOfQuarter].[All]" dimensionUniqueName="[DimDate]" displayFolder="" count="0" memberValueDatatype="20" unbalanced="0"/>
    <cacheHierarchy uniqueName="[DimDate].[MonthNumberOfYear]" caption="MonthNumberOfYear" attribute="1" defaultMemberUniqueName="[DimDate].[MonthNumberOfYear].[All]" allUniqueName="[DimDate].[MonthNumberOfYear].[All]" dimensionUniqueName="[DimDate]" displayFolder="" count="0" memberValueDatatype="20" unbalanced="0"/>
    <cacheHierarchy uniqueName="[DimDate].[MonthNumberOfQuarter]" caption="MonthNumberOfQuarter" attribute="1" defaultMemberUniqueName="[DimDate].[MonthNumberOfQuarter].[All]" allUniqueName="[DimDate].[MonthNumberOfQuarter].[All]" dimensionUniqueName="[DimDate]" displayFolder="" count="0" memberValueDatatype="20" unbalanced="0"/>
    <cacheHierarchy uniqueName="[DimDate].[CalendarQuarter]" caption="CalendarQuarter" attribute="1" defaultMemberUniqueName="[DimDate].[CalendarQuarter].[All]" allUniqueName="[DimDate].[CalendarQuarter].[All]" dimensionUniqueName="[DimDate]" displayFolder="" count="2" memberValueDatatype="20" unbalanced="0">
      <fieldsUsage count="2">
        <fieldUsage x="-1"/>
        <fieldUsage x="0"/>
      </fieldsUsage>
    </cacheHierarchy>
    <cacheHierarchy uniqueName="[DimDate].[CalendarYear]" caption="CalendarYear" attribute="1" defaultMemberUniqueName="[DimDate].[CalendarYear].[All]" allUniqueName="[DimDate].[CalendarYear].[All]" dimensionUniqueName="[DimDate]" displayFolder="" count="2" memberValueDatatype="20" unbalanced="0">
      <fieldsUsage count="2">
        <fieldUsage x="-1"/>
        <fieldUsage x="2"/>
      </fieldsUsage>
    </cacheHierarchy>
    <cacheHierarchy uniqueName="[DimDate].[DayName]" caption="DayName" attribute="1" defaultMemberUniqueName="[DimDate].[DayName].[All]" allUniqueName="[DimDate].[DayName].[All]" dimensionUniqueName="[DimDate]" displayFolder="" count="0" memberValueDatatype="130" unbalanced="0"/>
    <cacheHierarchy uniqueName="[DimDate].[MonthName]" caption="MonthName" attribute="1" defaultMemberUniqueName="[DimDate].[MonthName].[All]" allUniqueName="[DimDate].[MonthName].[All]" dimensionUniqueName="[DimDate]" displayFolder="" count="0" memberValueDatatype="130" unbalanced="0"/>
    <cacheHierarchy uniqueName="[DimDate].[LastOfMonth]" caption="LastOfMonth" attribute="1" time="1" defaultMemberUniqueName="[DimDate].[LastOfMonth].[All]" allUniqueName="[DimDate].[LastOfMonth].[All]" dimensionUniqueName="[DimDate]" displayFolder="" count="0" memberValueDatatype="7" unbalanced="0"/>
    <cacheHierarchy uniqueName="[DimDate].[FirstOfQuarter]" caption="FirstOfQuarter" attribute="1" time="1" defaultMemberUniqueName="[DimDate].[FirstOfQuarter].[All]" allUniqueName="[DimDate].[FirstOfQuarter].[All]" dimensionUniqueName="[DimDate]" displayFolder="" count="0" memberValueDatatype="7" unbalanced="0"/>
    <cacheHierarchy uniqueName="[DimDate].[LastOfQuarter]" caption="LastOfQuarter" attribute="1" time="1" defaultMemberUniqueName="[DimDate].[LastOfQuarter].[All]" allUniqueName="[DimDate].[LastOfQuarter].[All]" dimensionUniqueName="[DimDate]" displayFolder="" count="0" memberValueDatatype="7" unbalanced="0"/>
    <cacheHierarchy uniqueName="[DimDate].[EnglishDayName]" caption="EnglishDayName" attribute="1" defaultMemberUniqueName="[DimDate].[EnglishDayName].[All]" allUniqueName="[DimDate].[EnglishDayName].[All]" dimensionUniqueName="[DimDate]" displayFolder="" count="0" memberValueDatatype="130" unbalanced="0"/>
    <cacheHierarchy uniqueName="[DimDate].[EnglishMonthName]" caption="EnglishMonthName" attribute="1" defaultMemberUniqueName="[DimDate].[EnglishMonthName].[All]" allUniqueName="[DimDate].[EnglishMonthName].[All]" dimensionUniqueName="[DimDate]" displayFolder="" count="0" memberValueDatatype="130" unbalanced="0"/>
    <cacheHierarchy uniqueName="[DimDate].[SimpleRussianDate]" caption="SimpleRussianDate" attribute="1" defaultMemberUniqueName="[DimDate].[SimpleRussianDate].[All]" allUniqueName="[DimDate].[SimpleRussianDate].[All]" dimensionUniqueName="[DimDate]" displayFolder="" count="0" memberValueDatatype="130" unbalanced="0"/>
    <cacheHierarchy uniqueName="[FactIncome].[ID]" caption="ID" attribute="1" defaultMemberUniqueName="[FactIncome].[ID].[All]" allUniqueName="[FactIncome].[ID].[All]" dimensionUniqueName="[FactIncome]" displayFolder="" count="0" memberValueDatatype="20" unbalanced="0"/>
    <cacheHierarchy uniqueName="[FactIncome].[DateID]" caption="DateID" attribute="1" defaultMemberUniqueName="[FactIncome].[DateID].[All]" allUniqueName="[FactIncome].[DateID].[All]" dimensionUniqueName="[FactIncome]" displayFolder="" count="0" memberValueDatatype="20" unbalanced="0"/>
    <cacheHierarchy uniqueName="[FactIncome].[BatchID]" caption="BatchID" attribute="1" defaultMemberUniqueName="[FactIncome].[BatchID].[All]" allUniqueName="[FactIncome].[BatchID].[All]" dimensionUniqueName="[FactIncome]" displayFolder="" count="0" memberValueDatatype="20" unbalanced="0"/>
    <cacheHierarchy uniqueName="[FactIncome].[IncomeValue]" caption="IncomeValue" attribute="1" defaultMemberUniqueName="[FactIncome].[IncomeValue].[All]" allUniqueName="[FactIncome].[IncomeValue].[All]" dimensionUniqueName="[FactIncome]" displayFolder="" count="0" memberValueDatatype="6" unbalanced="0"/>
    <cacheHierarchy uniqueName="[FactIncome].[CreateDate]" caption="CreateDate" attribute="1" time="1" defaultMemberUniqueName="[FactIncome].[CreateDate].[All]" allUniqueName="[FactIncome].[CreateDate].[All]" dimensionUniqueName="[FactIncome]" displayFolder="" count="0" memberValueDatatype="7" unbalanced="0"/>
    <cacheHierarchy uniqueName="[Measures].[__XL_Count DimDate]" caption="__XL_Count DimDate" measure="1" displayFolder="" measureGroup="DimDate" count="0" hidden="1"/>
    <cacheHierarchy uniqueName="[Measures].[__XL_Count FactIncome]" caption="__XL_Count FactIncome" measure="1" displayFolder="" measureGroup="FactIncome" count="0" hidden="1"/>
    <cacheHierarchy uniqueName="[Measures].[__No measures defined]" caption="__No measures defined" measure="1" displayFolder="" count="0" hidden="1"/>
    <cacheHierarchy uniqueName="[Measures].[Sum of CalendarQuarter]" caption="Sum of CalendarQuarter" measure="1" displayFolder="" measureGroup="DimDat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IncomeValue]" caption="Sum of IncomeValue" measure="1" displayFolder="" measureGroup="FactIncom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DimDate" uniqueName="[DimDate]" caption="DimDate"/>
    <dimension name="FactIncome" uniqueName="[FactIncome]" caption="FactIncome"/>
    <dimension measure="1" name="Measures" uniqueName="[Measures]" caption="Measures"/>
  </dimensions>
  <measureGroups count="2">
    <measureGroup name="DimDate" caption="DimDate"/>
    <measureGroup name="FactIncome" caption="FactIncome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Values" tag="e3730fc6-c6c4-4c19-877d-ad60971ea193" updatedVersion="6" minRefreshableVersion="3" useAutoFormatting="1" itemPrintTitles="1" createdVersion="5" indent="0" outline="1" outlineData="1" multipleFieldFilters="0" rowHeaderCaption="Year">
  <location ref="B3:C7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 e="0"/>
        <item x="1" e="0"/>
        <item x="2" e="0"/>
      </items>
    </pivotField>
  </pivotFields>
  <rowFields count="2">
    <field x="2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IncomeValue" fld="1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Date]"/>
        <x15:activeTabTopLevelEntity name="[FactIncom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DU85"/>
  <sheetViews>
    <sheetView showGridLines="0" view="pageBreakPreview" zoomScale="120" zoomScaleNormal="120" zoomScaleSheetLayoutView="120" workbookViewId="0">
      <selection activeCell="BV5" sqref="BV5:BX5"/>
    </sheetView>
  </sheetViews>
  <sheetFormatPr defaultColWidth="0.84375" defaultRowHeight="11.6" x14ac:dyDescent="0.3"/>
  <cols>
    <col min="1" max="122" width="0.84375" style="4"/>
    <col min="123" max="123" width="8.53515625" style="4" customWidth="1"/>
    <col min="124" max="16384" width="0.84375" style="4"/>
  </cols>
  <sheetData>
    <row r="1" spans="1:125" ht="15" customHeight="1" x14ac:dyDescent="0.3">
      <c r="A1" s="141"/>
      <c r="B1" s="141"/>
      <c r="C1" s="141"/>
      <c r="D1" s="141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41"/>
      <c r="AA1" s="141"/>
      <c r="AB1" s="141"/>
      <c r="AC1" s="141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139" t="s">
        <v>124</v>
      </c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40"/>
      <c r="DT1" s="40"/>
      <c r="DU1" s="40"/>
    </row>
    <row r="2" spans="1:125" s="1" customFormat="1" ht="14.25" customHeight="1" x14ac:dyDescent="0.25">
      <c r="A2" s="5"/>
      <c r="B2" s="140"/>
      <c r="C2" s="140"/>
      <c r="D2" s="14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40"/>
      <c r="AA2" s="140"/>
      <c r="AB2" s="140"/>
      <c r="AC2" s="5"/>
      <c r="AD2" s="134" t="s">
        <v>2</v>
      </c>
      <c r="AE2" s="134"/>
      <c r="AF2" s="134"/>
      <c r="AG2" s="134"/>
      <c r="AH2" s="134"/>
      <c r="AI2" s="134"/>
      <c r="AJ2" s="134"/>
      <c r="AK2" s="134"/>
      <c r="AL2" s="89" t="s">
        <v>44</v>
      </c>
      <c r="AM2" s="90"/>
      <c r="AN2" s="91"/>
      <c r="AO2" s="89" t="s">
        <v>55</v>
      </c>
      <c r="AP2" s="90"/>
      <c r="AQ2" s="91"/>
      <c r="AR2" s="89" t="s">
        <v>55</v>
      </c>
      <c r="AS2" s="90"/>
      <c r="AT2" s="91"/>
      <c r="AU2" s="89" t="s">
        <v>44</v>
      </c>
      <c r="AV2" s="90"/>
      <c r="AW2" s="91"/>
      <c r="AX2" s="89" t="s">
        <v>44</v>
      </c>
      <c r="AY2" s="90"/>
      <c r="AZ2" s="91"/>
      <c r="BA2" s="89" t="s">
        <v>44</v>
      </c>
      <c r="BB2" s="90"/>
      <c r="BC2" s="91"/>
      <c r="BD2" s="89" t="s">
        <v>55</v>
      </c>
      <c r="BE2" s="90"/>
      <c r="BF2" s="91"/>
      <c r="BG2" s="89" t="s">
        <v>55</v>
      </c>
      <c r="BH2" s="90"/>
      <c r="BI2" s="91"/>
      <c r="BJ2" s="89" t="s">
        <v>44</v>
      </c>
      <c r="BK2" s="90"/>
      <c r="BL2" s="91"/>
      <c r="BM2" s="89" t="s">
        <v>55</v>
      </c>
      <c r="BN2" s="90"/>
      <c r="BO2" s="91"/>
      <c r="BP2" s="89" t="s">
        <v>55</v>
      </c>
      <c r="BQ2" s="90"/>
      <c r="BR2" s="91"/>
      <c r="BS2" s="89" t="s">
        <v>44</v>
      </c>
      <c r="BT2" s="90"/>
      <c r="BU2" s="91"/>
      <c r="BV2" s="5"/>
      <c r="BW2" s="5"/>
      <c r="BX2" s="5"/>
      <c r="BY2" s="5"/>
      <c r="BZ2" s="5"/>
      <c r="CA2" s="5"/>
      <c r="CB2" s="5"/>
      <c r="CC2" s="5"/>
      <c r="CD2" s="5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41"/>
      <c r="DT2" s="41"/>
      <c r="DU2" s="41"/>
    </row>
    <row r="3" spans="1:125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92"/>
      <c r="AM3" s="93"/>
      <c r="AN3" s="94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3"/>
      <c r="AZ3" s="94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3"/>
      <c r="BL3" s="94"/>
      <c r="BM3" s="92"/>
      <c r="BN3" s="93"/>
      <c r="BO3" s="94"/>
      <c r="BP3" s="92"/>
      <c r="BQ3" s="93"/>
      <c r="BR3" s="94"/>
      <c r="BS3" s="92"/>
      <c r="BT3" s="93"/>
      <c r="BU3" s="94"/>
      <c r="BV3" s="5"/>
      <c r="BW3" s="5"/>
      <c r="BX3" s="5"/>
      <c r="BY3" s="5"/>
      <c r="BZ3" s="5"/>
      <c r="CA3" s="5"/>
      <c r="CB3" s="5"/>
      <c r="CC3" s="12"/>
      <c r="CD3" s="12"/>
      <c r="CE3" s="139"/>
      <c r="CF3" s="139"/>
      <c r="CG3" s="139"/>
      <c r="CH3" s="139"/>
      <c r="CI3" s="139"/>
      <c r="CJ3" s="139"/>
      <c r="CK3" s="139"/>
      <c r="CL3" s="139"/>
      <c r="CM3" s="139"/>
      <c r="CN3" s="139"/>
      <c r="CO3" s="139"/>
      <c r="CP3" s="139"/>
      <c r="CQ3" s="139"/>
      <c r="CR3" s="139"/>
      <c r="CS3" s="139"/>
      <c r="CT3" s="139"/>
      <c r="CU3" s="139"/>
      <c r="CV3" s="139"/>
      <c r="CW3" s="139"/>
      <c r="CX3" s="139"/>
      <c r="CY3" s="139"/>
      <c r="CZ3" s="139"/>
      <c r="DA3" s="139"/>
      <c r="DB3" s="139"/>
      <c r="DC3" s="139"/>
      <c r="DD3" s="139"/>
      <c r="DE3" s="139"/>
      <c r="DF3" s="139"/>
      <c r="DG3" s="139"/>
      <c r="DH3" s="139"/>
      <c r="DI3" s="139"/>
      <c r="DJ3" s="139"/>
      <c r="DK3" s="139"/>
      <c r="DL3" s="139"/>
      <c r="DM3" s="139"/>
      <c r="DN3" s="139"/>
      <c r="DO3" s="139"/>
      <c r="DP3" s="139"/>
      <c r="DQ3" s="139"/>
      <c r="DR3" s="139"/>
      <c r="DS3" s="41"/>
      <c r="DT3" s="41"/>
      <c r="DU3" s="41"/>
    </row>
    <row r="4" spans="1:125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41"/>
      <c r="DT4" s="41"/>
      <c r="DU4" s="41"/>
    </row>
    <row r="5" spans="1:125" s="1" customFormat="1" ht="17.25" customHeight="1" x14ac:dyDescent="0.2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34" t="s">
        <v>3</v>
      </c>
      <c r="AE5" s="134"/>
      <c r="AF5" s="134"/>
      <c r="AG5" s="134"/>
      <c r="AH5" s="134"/>
      <c r="AI5" s="134"/>
      <c r="AJ5" s="134"/>
      <c r="AK5" s="134"/>
      <c r="AL5" s="80" t="s">
        <v>52</v>
      </c>
      <c r="AM5" s="80"/>
      <c r="AN5" s="80"/>
      <c r="AO5" s="80" t="s">
        <v>52</v>
      </c>
      <c r="AP5" s="80"/>
      <c r="AQ5" s="80"/>
      <c r="AR5" s="80" t="s">
        <v>52</v>
      </c>
      <c r="AS5" s="80"/>
      <c r="AT5" s="80"/>
      <c r="AU5" s="80" t="s">
        <v>52</v>
      </c>
      <c r="AV5" s="80"/>
      <c r="AW5" s="80"/>
      <c r="AX5" s="80" t="s">
        <v>52</v>
      </c>
      <c r="AY5" s="80"/>
      <c r="AZ5" s="80"/>
      <c r="BA5" s="80" t="s">
        <v>52</v>
      </c>
      <c r="BB5" s="80"/>
      <c r="BC5" s="80"/>
      <c r="BD5" s="80" t="s">
        <v>52</v>
      </c>
      <c r="BE5" s="80"/>
      <c r="BF5" s="80"/>
      <c r="BG5" s="80" t="s">
        <v>52</v>
      </c>
      <c r="BH5" s="80"/>
      <c r="BI5" s="80"/>
      <c r="BJ5" s="80" t="s">
        <v>52</v>
      </c>
      <c r="BK5" s="80"/>
      <c r="BL5" s="80"/>
      <c r="BM5" s="137" t="s">
        <v>4</v>
      </c>
      <c r="BN5" s="134"/>
      <c r="BO5" s="134"/>
      <c r="BP5" s="134"/>
      <c r="BQ5" s="134"/>
      <c r="BR5" s="138"/>
      <c r="BS5" s="80" t="s">
        <v>43</v>
      </c>
      <c r="BT5" s="80"/>
      <c r="BU5" s="80"/>
      <c r="BV5" s="80" t="s">
        <v>43</v>
      </c>
      <c r="BW5" s="80"/>
      <c r="BX5" s="80"/>
      <c r="BY5" s="80" t="s">
        <v>44</v>
      </c>
      <c r="BZ5" s="80"/>
      <c r="CA5" s="80"/>
      <c r="CB5" s="13"/>
      <c r="CC5" s="13"/>
      <c r="CD5" s="13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41"/>
      <c r="DT5" s="41"/>
      <c r="DU5" s="41"/>
    </row>
    <row r="6" spans="1:125" s="1" customFormat="1" ht="11.2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7"/>
      <c r="CK6" s="7"/>
      <c r="CL6" s="7"/>
      <c r="CM6" s="7"/>
      <c r="CN6" s="7"/>
      <c r="CO6" s="7"/>
      <c r="CP6" s="7"/>
      <c r="CQ6" s="7"/>
      <c r="CR6" s="7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41"/>
      <c r="DT6" s="41"/>
      <c r="DU6" s="41"/>
    </row>
    <row r="7" spans="1:125" s="1" customFormat="1" ht="9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7"/>
      <c r="CK7" s="7"/>
      <c r="CL7" s="7"/>
      <c r="CM7" s="7"/>
      <c r="CN7" s="7"/>
      <c r="CO7" s="7"/>
      <c r="CP7" s="7"/>
      <c r="CQ7" s="7"/>
      <c r="CR7" s="7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5"/>
      <c r="DS7" s="41"/>
      <c r="DT7" s="41"/>
      <c r="DU7" s="41"/>
    </row>
    <row r="8" spans="1:125" s="1" customFormat="1" ht="1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136" t="s">
        <v>48</v>
      </c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36"/>
      <c r="DI8" s="136"/>
      <c r="DJ8" s="136"/>
      <c r="DK8" s="136"/>
      <c r="DL8" s="136"/>
      <c r="DM8" s="136"/>
      <c r="DN8" s="136"/>
      <c r="DO8" s="136"/>
      <c r="DP8" s="136"/>
      <c r="DQ8" s="136"/>
      <c r="DR8" s="5"/>
      <c r="DS8" s="41"/>
      <c r="DT8" s="41"/>
      <c r="DU8" s="41"/>
    </row>
    <row r="9" spans="1:125" s="1" customFormat="1" ht="12.45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5"/>
      <c r="DS9" s="41"/>
      <c r="DT9" s="41"/>
      <c r="DU9" s="41"/>
    </row>
    <row r="10" spans="1:125" s="17" customFormat="1" ht="14.15" x14ac:dyDescent="0.35">
      <c r="A10" s="31"/>
      <c r="B10" s="135" t="s">
        <v>49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35"/>
      <c r="CA10" s="135"/>
      <c r="CB10" s="135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35"/>
      <c r="DI10" s="135"/>
      <c r="DJ10" s="135"/>
      <c r="DK10" s="135"/>
      <c r="DL10" s="135"/>
      <c r="DM10" s="135"/>
      <c r="DN10" s="135"/>
      <c r="DO10" s="135"/>
      <c r="DP10" s="135"/>
      <c r="DQ10" s="135"/>
      <c r="DR10" s="31"/>
      <c r="DS10" s="42"/>
      <c r="DT10" s="42"/>
      <c r="DU10" s="42"/>
    </row>
    <row r="11" spans="1:125" s="17" customFormat="1" ht="14.15" x14ac:dyDescent="0.35">
      <c r="A11" s="31"/>
      <c r="B11" s="135" t="s">
        <v>50</v>
      </c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  <c r="BA11" s="135"/>
      <c r="BB11" s="135"/>
      <c r="BC11" s="135"/>
      <c r="BD11" s="135"/>
      <c r="BE11" s="135"/>
      <c r="BF11" s="135"/>
      <c r="BG11" s="135"/>
      <c r="BH11" s="135"/>
      <c r="BI11" s="135"/>
      <c r="BJ11" s="135"/>
      <c r="BK11" s="135"/>
      <c r="BL11" s="135"/>
      <c r="BM11" s="135"/>
      <c r="BN11" s="135"/>
      <c r="BO11" s="135"/>
      <c r="BP11" s="135"/>
      <c r="BQ11" s="135"/>
      <c r="BR11" s="135"/>
      <c r="BS11" s="135"/>
      <c r="BT11" s="135"/>
      <c r="BU11" s="135"/>
      <c r="BV11" s="135"/>
      <c r="BW11" s="135"/>
      <c r="BX11" s="135"/>
      <c r="BY11" s="135"/>
      <c r="BZ11" s="135"/>
      <c r="CA11" s="135"/>
      <c r="CB11" s="135"/>
      <c r="CC11" s="135"/>
      <c r="CD11" s="135"/>
      <c r="CE11" s="135"/>
      <c r="CF11" s="135"/>
      <c r="CG11" s="135"/>
      <c r="CH11" s="135"/>
      <c r="CI11" s="135"/>
      <c r="CJ11" s="135"/>
      <c r="CK11" s="135"/>
      <c r="CL11" s="135"/>
      <c r="CM11" s="135"/>
      <c r="CN11" s="135"/>
      <c r="CO11" s="135"/>
      <c r="CP11" s="135"/>
      <c r="CQ11" s="135"/>
      <c r="CR11" s="135"/>
      <c r="CS11" s="135"/>
      <c r="CT11" s="135"/>
      <c r="CU11" s="135"/>
      <c r="CV11" s="135"/>
      <c r="CW11" s="135"/>
      <c r="CX11" s="135"/>
      <c r="CY11" s="135"/>
      <c r="CZ11" s="135"/>
      <c r="DA11" s="135"/>
      <c r="DB11" s="135"/>
      <c r="DC11" s="135"/>
      <c r="DD11" s="135"/>
      <c r="DE11" s="135"/>
      <c r="DF11" s="135"/>
      <c r="DG11" s="135"/>
      <c r="DH11" s="135"/>
      <c r="DI11" s="135"/>
      <c r="DJ11" s="135"/>
      <c r="DK11" s="135"/>
      <c r="DL11" s="135"/>
      <c r="DM11" s="135"/>
      <c r="DN11" s="135"/>
      <c r="DO11" s="135"/>
      <c r="DP11" s="135"/>
      <c r="DQ11" s="135"/>
      <c r="DR11" s="31"/>
      <c r="DS11" s="42"/>
      <c r="DT11" s="42"/>
      <c r="DU11" s="42"/>
    </row>
    <row r="12" spans="1:125" s="1" customFormat="1" ht="6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41"/>
      <c r="DT12" s="41"/>
      <c r="DU12" s="41"/>
    </row>
    <row r="13" spans="1:125" s="1" customFormat="1" ht="17.2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22" t="s">
        <v>0</v>
      </c>
      <c r="X13" s="5"/>
      <c r="Y13" s="128" t="s">
        <v>43</v>
      </c>
      <c r="Z13" s="129"/>
      <c r="AA13" s="130"/>
      <c r="AB13" s="128" t="s">
        <v>52</v>
      </c>
      <c r="AC13" s="129"/>
      <c r="AD13" s="130"/>
      <c r="AE13" s="128" t="s">
        <v>52</v>
      </c>
      <c r="AF13" s="129"/>
      <c r="AG13" s="130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22" t="s">
        <v>9</v>
      </c>
      <c r="BU13" s="5"/>
      <c r="BV13" s="128" t="s">
        <v>53</v>
      </c>
      <c r="BW13" s="129"/>
      <c r="BX13" s="130"/>
      <c r="BY13" s="128" t="s">
        <v>54</v>
      </c>
      <c r="BZ13" s="129"/>
      <c r="CA13" s="130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22" t="s">
        <v>1</v>
      </c>
      <c r="DD13" s="5"/>
      <c r="DE13" s="128" t="s">
        <v>55</v>
      </c>
      <c r="DF13" s="129"/>
      <c r="DG13" s="130"/>
      <c r="DH13" s="128" t="s">
        <v>43</v>
      </c>
      <c r="DI13" s="129"/>
      <c r="DJ13" s="130"/>
      <c r="DK13" s="128" t="s">
        <v>55</v>
      </c>
      <c r="DL13" s="129"/>
      <c r="DM13" s="130"/>
      <c r="DN13" s="128" t="s">
        <v>43</v>
      </c>
      <c r="DO13" s="129"/>
      <c r="DP13" s="130"/>
      <c r="DQ13" s="5"/>
      <c r="DR13" s="5"/>
      <c r="DS13" s="41"/>
      <c r="DT13" s="41"/>
      <c r="DU13" s="41"/>
    </row>
    <row r="14" spans="1:125" s="1" customFormat="1" ht="8.2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41"/>
      <c r="DT14" s="41"/>
      <c r="DU14" s="41"/>
    </row>
    <row r="15" spans="1:125" s="1" customFormat="1" ht="17.25" customHeight="1" x14ac:dyDescent="0.25">
      <c r="A15" s="5"/>
      <c r="B15" s="5"/>
      <c r="C15" s="23" t="s">
        <v>8</v>
      </c>
      <c r="D15" s="23"/>
      <c r="E15" s="23"/>
      <c r="F15" s="2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0" t="s">
        <v>153</v>
      </c>
      <c r="AZ15" s="80"/>
      <c r="BA15" s="80"/>
      <c r="BB15" s="80" t="s">
        <v>152</v>
      </c>
      <c r="BC15" s="80"/>
      <c r="BD15" s="80"/>
      <c r="BE15" s="80" t="s">
        <v>43</v>
      </c>
      <c r="BF15" s="80"/>
      <c r="BG15" s="80"/>
      <c r="BH15" s="80" t="s">
        <v>43</v>
      </c>
      <c r="BI15" s="80"/>
      <c r="BJ15" s="80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22" t="s">
        <v>46</v>
      </c>
      <c r="DF15" s="5"/>
      <c r="DG15" s="128" t="s">
        <v>44</v>
      </c>
      <c r="DH15" s="129"/>
      <c r="DI15" s="130"/>
      <c r="DJ15" s="128" t="s">
        <v>55</v>
      </c>
      <c r="DK15" s="129"/>
      <c r="DL15" s="130"/>
      <c r="DM15" s="128" t="s">
        <v>43</v>
      </c>
      <c r="DN15" s="129"/>
      <c r="DO15" s="130"/>
      <c r="DP15" s="5"/>
      <c r="DQ15" s="5"/>
      <c r="DR15" s="5"/>
      <c r="DS15" s="41"/>
      <c r="DT15" s="41"/>
      <c r="DU15" s="41"/>
    </row>
    <row r="16" spans="1:125" s="1" customFormat="1" ht="4.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41"/>
      <c r="DT16" s="41"/>
      <c r="DU16" s="41"/>
    </row>
    <row r="17" spans="1:125" s="1" customFormat="1" ht="17.25" customHeight="1" x14ac:dyDescent="0.25">
      <c r="A17" s="5"/>
      <c r="B17" s="80" t="s">
        <v>184</v>
      </c>
      <c r="C17" s="80"/>
      <c r="D17" s="80"/>
      <c r="E17" s="80" t="s">
        <v>155</v>
      </c>
      <c r="F17" s="80"/>
      <c r="G17" s="80"/>
      <c r="H17" s="80" t="s">
        <v>185</v>
      </c>
      <c r="I17" s="80"/>
      <c r="J17" s="80"/>
      <c r="K17" s="80" t="s">
        <v>161</v>
      </c>
      <c r="L17" s="80"/>
      <c r="M17" s="80"/>
      <c r="N17" s="80" t="s">
        <v>160</v>
      </c>
      <c r="O17" s="80"/>
      <c r="P17" s="80"/>
      <c r="Q17" s="80" t="s">
        <v>161</v>
      </c>
      <c r="R17" s="80"/>
      <c r="S17" s="80"/>
      <c r="T17" s="80" t="s">
        <v>158</v>
      </c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80"/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  <c r="CX17" s="80"/>
      <c r="CY17" s="80"/>
      <c r="CZ17" s="80"/>
      <c r="DA17" s="80"/>
      <c r="DB17" s="80"/>
      <c r="DC17" s="80"/>
      <c r="DD17" s="80"/>
      <c r="DE17" s="80"/>
      <c r="DF17" s="80"/>
      <c r="DG17" s="80"/>
      <c r="DH17" s="80"/>
      <c r="DI17" s="80"/>
      <c r="DJ17" s="80"/>
      <c r="DK17" s="80"/>
      <c r="DL17" s="80"/>
      <c r="DM17" s="80"/>
      <c r="DN17" s="80"/>
      <c r="DO17" s="80"/>
      <c r="DP17" s="80"/>
      <c r="DQ17" s="80"/>
      <c r="DR17" s="5"/>
      <c r="DS17" s="41"/>
      <c r="DT17" s="41"/>
      <c r="DU17" s="41"/>
    </row>
    <row r="18" spans="1:125" s="1" customFormat="1" ht="3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 t="s">
        <v>160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41"/>
      <c r="DT18" s="41"/>
      <c r="DU18" s="41"/>
    </row>
    <row r="19" spans="1:125" s="1" customFormat="1" ht="17.25" customHeight="1" x14ac:dyDescent="0.25">
      <c r="A19" s="5"/>
      <c r="B19" s="80" t="s">
        <v>161</v>
      </c>
      <c r="C19" s="80"/>
      <c r="D19" s="80"/>
      <c r="E19" s="80" t="s">
        <v>185</v>
      </c>
      <c r="F19" s="80"/>
      <c r="G19" s="80"/>
      <c r="H19" s="80" t="s">
        <v>158</v>
      </c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  <c r="CZ19" s="80"/>
      <c r="DA19" s="80"/>
      <c r="DB19" s="80"/>
      <c r="DC19" s="80"/>
      <c r="DD19" s="80"/>
      <c r="DE19" s="80"/>
      <c r="DF19" s="80"/>
      <c r="DG19" s="80"/>
      <c r="DH19" s="80"/>
      <c r="DI19" s="80"/>
      <c r="DJ19" s="80"/>
      <c r="DK19" s="80"/>
      <c r="DL19" s="80"/>
      <c r="DM19" s="80"/>
      <c r="DN19" s="80"/>
      <c r="DO19" s="80"/>
      <c r="DP19" s="80"/>
      <c r="DQ19" s="80"/>
      <c r="DR19" s="5"/>
      <c r="DS19" s="41"/>
      <c r="DT19" s="41"/>
      <c r="DU19" s="41"/>
    </row>
    <row r="20" spans="1:125" s="1" customFormat="1" ht="3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41"/>
      <c r="DT20" s="41"/>
      <c r="DU20" s="41"/>
    </row>
    <row r="21" spans="1:125" s="1" customFormat="1" ht="17.25" customHeight="1" x14ac:dyDescent="0.25">
      <c r="A21" s="5"/>
      <c r="B21" s="80" t="s">
        <v>159</v>
      </c>
      <c r="C21" s="80"/>
      <c r="D21" s="80"/>
      <c r="E21" s="80" t="s">
        <v>162</v>
      </c>
      <c r="F21" s="80"/>
      <c r="G21" s="80"/>
      <c r="H21" s="80" t="s">
        <v>163</v>
      </c>
      <c r="I21" s="80"/>
      <c r="J21" s="80"/>
      <c r="K21" s="80" t="s">
        <v>157</v>
      </c>
      <c r="L21" s="80"/>
      <c r="M21" s="80"/>
      <c r="N21" s="80" t="s">
        <v>186</v>
      </c>
      <c r="O21" s="80"/>
      <c r="P21" s="80"/>
      <c r="Q21" s="80" t="s">
        <v>162</v>
      </c>
      <c r="R21" s="80"/>
      <c r="S21" s="80"/>
      <c r="T21" s="80" t="s">
        <v>156</v>
      </c>
      <c r="U21" s="80"/>
      <c r="V21" s="80"/>
      <c r="W21" s="80" t="s">
        <v>159</v>
      </c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80"/>
      <c r="CF21" s="80"/>
      <c r="CG21" s="80"/>
      <c r="CH21" s="80"/>
      <c r="CI21" s="80"/>
      <c r="CJ21" s="80"/>
      <c r="CK21" s="80"/>
      <c r="CL21" s="80"/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  <c r="CX21" s="80"/>
      <c r="CY21" s="80"/>
      <c r="CZ21" s="80"/>
      <c r="DA21" s="80"/>
      <c r="DB21" s="80"/>
      <c r="DC21" s="80"/>
      <c r="DD21" s="80"/>
      <c r="DE21" s="80"/>
      <c r="DF21" s="80"/>
      <c r="DG21" s="80"/>
      <c r="DH21" s="80"/>
      <c r="DI21" s="80"/>
      <c r="DJ21" s="80"/>
      <c r="DK21" s="80"/>
      <c r="DL21" s="80"/>
      <c r="DM21" s="80"/>
      <c r="DN21" s="80"/>
      <c r="DO21" s="80"/>
      <c r="DP21" s="80"/>
      <c r="DQ21" s="80"/>
      <c r="DR21" s="5"/>
      <c r="DS21" s="41"/>
      <c r="DT21" s="41"/>
      <c r="DU21" s="41"/>
    </row>
    <row r="22" spans="1:125" s="1" customFormat="1" ht="3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41"/>
      <c r="DT22" s="41"/>
      <c r="DU22" s="41"/>
    </row>
    <row r="23" spans="1:125" s="1" customFormat="1" ht="17.25" customHeight="1" x14ac:dyDescent="0.25">
      <c r="A23" s="5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80"/>
      <c r="CF23" s="80"/>
      <c r="CG23" s="80"/>
      <c r="CH23" s="80"/>
      <c r="CI23" s="80"/>
      <c r="CJ23" s="80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  <c r="DB23" s="80"/>
      <c r="DC23" s="80"/>
      <c r="DD23" s="80"/>
      <c r="DE23" s="80"/>
      <c r="DF23" s="80"/>
      <c r="DG23" s="80"/>
      <c r="DH23" s="80"/>
      <c r="DI23" s="80"/>
      <c r="DJ23" s="80"/>
      <c r="DK23" s="80"/>
      <c r="DL23" s="80"/>
      <c r="DM23" s="80"/>
      <c r="DN23" s="80"/>
      <c r="DO23" s="80"/>
      <c r="DP23" s="80"/>
      <c r="DQ23" s="80"/>
      <c r="DR23" s="5"/>
      <c r="DS23" s="41"/>
      <c r="DT23" s="41"/>
      <c r="DU23" s="41"/>
    </row>
    <row r="24" spans="1:125" s="1" customFormat="1" ht="15" customHeight="1" x14ac:dyDescent="0.25">
      <c r="A24" s="5"/>
      <c r="B24" s="131" t="s">
        <v>5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Q24" s="131"/>
      <c r="DR24" s="5"/>
      <c r="DS24" s="41"/>
      <c r="DT24" s="41"/>
      <c r="DU24" s="41"/>
    </row>
    <row r="25" spans="1:125" s="1" customFormat="1" ht="7.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41"/>
      <c r="DT25" s="41"/>
      <c r="DU25" s="41"/>
    </row>
    <row r="26" spans="1:125" s="1" customFormat="1" ht="17.25" customHeight="1" x14ac:dyDescent="0.25">
      <c r="A26" s="5"/>
      <c r="B26" s="97" t="s">
        <v>7</v>
      </c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50"/>
      <c r="BP26" s="50"/>
      <c r="BQ26" s="80" t="s">
        <v>151</v>
      </c>
      <c r="BR26" s="80"/>
      <c r="BS26" s="80"/>
      <c r="BT26" s="80" t="s">
        <v>55</v>
      </c>
      <c r="BU26" s="80"/>
      <c r="BV26" s="80"/>
      <c r="BW26" s="105" t="s">
        <v>6</v>
      </c>
      <c r="BX26" s="106"/>
      <c r="BY26" s="106"/>
      <c r="BZ26" s="80" t="s">
        <v>43</v>
      </c>
      <c r="CA26" s="80"/>
      <c r="CB26" s="80"/>
      <c r="CC26" s="80" t="s">
        <v>44</v>
      </c>
      <c r="CD26" s="80"/>
      <c r="CE26" s="80"/>
      <c r="CF26" s="105" t="s">
        <v>6</v>
      </c>
      <c r="CG26" s="106"/>
      <c r="CH26" s="106"/>
      <c r="CI26" s="50"/>
      <c r="CJ26" s="80"/>
      <c r="CK26" s="80"/>
      <c r="CL26" s="80"/>
      <c r="CM26" s="80"/>
      <c r="CN26" s="80"/>
      <c r="CO26" s="80"/>
      <c r="CP26" s="52"/>
      <c r="CQ26" s="52"/>
      <c r="CR26" s="52"/>
      <c r="CS26" s="51"/>
      <c r="CT26" s="51"/>
      <c r="CU26" s="51"/>
      <c r="CV26" s="51"/>
      <c r="CW26" s="51"/>
      <c r="CX26" s="51"/>
      <c r="CY26" s="52"/>
      <c r="CZ26" s="52"/>
      <c r="DA26" s="52"/>
      <c r="DB26" s="51"/>
      <c r="DC26" s="51"/>
      <c r="DD26" s="51"/>
      <c r="DE26" s="51"/>
      <c r="DF26" s="51"/>
      <c r="DG26" s="51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41"/>
      <c r="DT26" s="41"/>
      <c r="DU26" s="41"/>
    </row>
    <row r="27" spans="1:125" ht="6" customHeight="1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</row>
    <row r="28" spans="1:125" ht="9.9" customHeight="1" x14ac:dyDescent="0.3">
      <c r="A28" s="20"/>
      <c r="B28" s="81" t="s">
        <v>56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20"/>
      <c r="Z28" s="83"/>
      <c r="AA28" s="84"/>
      <c r="AB28" s="84"/>
      <c r="AC28" s="85"/>
      <c r="AD28" s="20"/>
      <c r="AE28" s="20"/>
      <c r="AF28" s="96" t="s">
        <v>59</v>
      </c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  <c r="BI28" s="20"/>
      <c r="BJ28" s="89"/>
      <c r="BK28" s="90"/>
      <c r="BL28" s="91"/>
      <c r="BM28" s="89"/>
      <c r="BN28" s="90"/>
      <c r="BO28" s="91"/>
      <c r="BP28" s="89"/>
      <c r="BQ28" s="90"/>
      <c r="BR28" s="91"/>
      <c r="BS28" s="89"/>
      <c r="BT28" s="90"/>
      <c r="BU28" s="91"/>
      <c r="BV28" s="89"/>
      <c r="BW28" s="90"/>
      <c r="BX28" s="91"/>
      <c r="BY28" s="89"/>
      <c r="BZ28" s="90"/>
      <c r="CA28" s="91"/>
      <c r="CB28" s="89"/>
      <c r="CC28" s="90"/>
      <c r="CD28" s="91"/>
      <c r="CE28" s="89"/>
      <c r="CF28" s="90"/>
      <c r="CG28" s="91"/>
      <c r="CH28" s="89"/>
      <c r="CI28" s="90"/>
      <c r="CJ28" s="91"/>
      <c r="CK28" s="89"/>
      <c r="CL28" s="90"/>
      <c r="CM28" s="91"/>
      <c r="CN28" s="132" t="s">
        <v>58</v>
      </c>
      <c r="CO28" s="132"/>
      <c r="CP28" s="133"/>
      <c r="CQ28" s="89"/>
      <c r="CR28" s="90"/>
      <c r="CS28" s="91"/>
      <c r="CT28" s="89"/>
      <c r="CU28" s="90"/>
      <c r="CV28" s="91"/>
      <c r="CW28" s="89"/>
      <c r="CX28" s="90"/>
      <c r="CY28" s="91"/>
      <c r="CZ28" s="89"/>
      <c r="DA28" s="90"/>
      <c r="DB28" s="91"/>
      <c r="DC28" s="89"/>
      <c r="DD28" s="90"/>
      <c r="DE28" s="91"/>
      <c r="DF28" s="89"/>
      <c r="DG28" s="90"/>
      <c r="DH28" s="91"/>
      <c r="DI28" s="89"/>
      <c r="DJ28" s="90"/>
      <c r="DK28" s="91"/>
      <c r="DL28" s="89"/>
      <c r="DM28" s="90"/>
      <c r="DN28" s="91"/>
      <c r="DO28" s="89"/>
      <c r="DP28" s="90"/>
      <c r="DQ28" s="91"/>
      <c r="DR28" s="20"/>
      <c r="DS28" s="40"/>
      <c r="DT28" s="40"/>
      <c r="DU28" s="40"/>
    </row>
    <row r="29" spans="1:125" ht="9.9" customHeight="1" x14ac:dyDescent="0.3">
      <c r="A29" s="20"/>
      <c r="B29" s="82" t="s">
        <v>57</v>
      </c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20"/>
      <c r="Z29" s="86"/>
      <c r="AA29" s="87"/>
      <c r="AB29" s="87"/>
      <c r="AC29" s="88"/>
      <c r="AD29" s="20"/>
      <c r="AE29" s="20"/>
      <c r="AF29" s="82" t="s">
        <v>60</v>
      </c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20"/>
      <c r="BJ29" s="92"/>
      <c r="BK29" s="93"/>
      <c r="BL29" s="94"/>
      <c r="BM29" s="92"/>
      <c r="BN29" s="93"/>
      <c r="BO29" s="94"/>
      <c r="BP29" s="92"/>
      <c r="BQ29" s="93"/>
      <c r="BR29" s="94"/>
      <c r="BS29" s="92"/>
      <c r="BT29" s="93"/>
      <c r="BU29" s="94"/>
      <c r="BV29" s="92"/>
      <c r="BW29" s="93"/>
      <c r="BX29" s="94"/>
      <c r="BY29" s="92"/>
      <c r="BZ29" s="93"/>
      <c r="CA29" s="94"/>
      <c r="CB29" s="92"/>
      <c r="CC29" s="93"/>
      <c r="CD29" s="94"/>
      <c r="CE29" s="92"/>
      <c r="CF29" s="93"/>
      <c r="CG29" s="94"/>
      <c r="CH29" s="92"/>
      <c r="CI29" s="93"/>
      <c r="CJ29" s="94"/>
      <c r="CK29" s="92"/>
      <c r="CL29" s="93"/>
      <c r="CM29" s="94"/>
      <c r="CN29" s="132"/>
      <c r="CO29" s="132"/>
      <c r="CP29" s="133"/>
      <c r="CQ29" s="92"/>
      <c r="CR29" s="93"/>
      <c r="CS29" s="94"/>
      <c r="CT29" s="92"/>
      <c r="CU29" s="93"/>
      <c r="CV29" s="94"/>
      <c r="CW29" s="92"/>
      <c r="CX29" s="93"/>
      <c r="CY29" s="94"/>
      <c r="CZ29" s="92"/>
      <c r="DA29" s="93"/>
      <c r="DB29" s="94"/>
      <c r="DC29" s="92"/>
      <c r="DD29" s="93"/>
      <c r="DE29" s="94"/>
      <c r="DF29" s="92"/>
      <c r="DG29" s="93"/>
      <c r="DH29" s="94"/>
      <c r="DI29" s="92"/>
      <c r="DJ29" s="93"/>
      <c r="DK29" s="94"/>
      <c r="DL29" s="92"/>
      <c r="DM29" s="93"/>
      <c r="DN29" s="94"/>
      <c r="DO29" s="92"/>
      <c r="DP29" s="93"/>
      <c r="DQ29" s="94"/>
      <c r="DR29" s="20"/>
      <c r="DS29" s="40"/>
      <c r="DT29" s="40"/>
      <c r="DU29" s="40"/>
    </row>
    <row r="30" spans="1:125" ht="9.9" customHeight="1" x14ac:dyDescent="0.3">
      <c r="A30" s="20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20"/>
      <c r="Z30" s="47"/>
      <c r="AA30" s="47"/>
      <c r="AB30" s="47"/>
      <c r="AC30" s="47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40"/>
      <c r="DT30" s="40"/>
      <c r="DU30" s="40"/>
    </row>
    <row r="31" spans="1:125" ht="17.25" customHeight="1" x14ac:dyDescent="0.3">
      <c r="A31" s="20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80" t="s">
        <v>165</v>
      </c>
      <c r="AF31" s="80"/>
      <c r="AG31" s="80"/>
      <c r="AH31" s="80" t="s">
        <v>153</v>
      </c>
      <c r="AI31" s="80"/>
      <c r="AJ31" s="80"/>
      <c r="AK31" s="80"/>
      <c r="AL31" s="80"/>
      <c r="AM31" s="80"/>
      <c r="AN31" s="80" t="s">
        <v>164</v>
      </c>
      <c r="AO31" s="80"/>
      <c r="AP31" s="80"/>
      <c r="AQ31" s="80" t="s">
        <v>164</v>
      </c>
      <c r="AR31" s="80"/>
      <c r="AS31" s="80"/>
      <c r="AT31" s="80" t="s">
        <v>164</v>
      </c>
      <c r="AU31" s="80"/>
      <c r="AV31" s="80"/>
      <c r="AW31" s="80"/>
      <c r="AX31" s="80"/>
      <c r="AY31" s="80"/>
      <c r="AZ31" s="80" t="s">
        <v>152</v>
      </c>
      <c r="BA31" s="80"/>
      <c r="BB31" s="80"/>
      <c r="BC31" s="80" t="s">
        <v>152</v>
      </c>
      <c r="BD31" s="80"/>
      <c r="BE31" s="80"/>
      <c r="BF31" s="80" t="s">
        <v>152</v>
      </c>
      <c r="BG31" s="80"/>
      <c r="BH31" s="80"/>
      <c r="BI31" s="80"/>
      <c r="BJ31" s="80"/>
      <c r="BK31" s="80"/>
      <c r="BL31" s="80" t="s">
        <v>153</v>
      </c>
      <c r="BM31" s="80"/>
      <c r="BN31" s="80"/>
      <c r="BO31" s="80" t="s">
        <v>153</v>
      </c>
      <c r="BP31" s="80"/>
      <c r="BQ31" s="80"/>
      <c r="BR31" s="80"/>
      <c r="BS31" s="80"/>
      <c r="BT31" s="80"/>
      <c r="BU31" s="80" t="s">
        <v>153</v>
      </c>
      <c r="BV31" s="80"/>
      <c r="BW31" s="80"/>
      <c r="BX31" s="80"/>
      <c r="BY31" s="80"/>
      <c r="BZ31" s="80"/>
      <c r="CA31" s="80"/>
      <c r="CB31" s="80"/>
      <c r="CC31" s="80"/>
      <c r="CD31" s="80"/>
      <c r="CE31" s="80"/>
      <c r="CF31" s="80"/>
      <c r="CG31" s="80"/>
      <c r="CH31" s="80"/>
      <c r="CI31" s="80"/>
      <c r="CJ31" s="80"/>
      <c r="CK31" s="80"/>
      <c r="CL31" s="80"/>
      <c r="CM31" s="95"/>
      <c r="CN31" s="95"/>
      <c r="CO31" s="95"/>
      <c r="CP31" s="95"/>
      <c r="CQ31" s="95"/>
      <c r="CR31" s="95"/>
      <c r="CS31" s="95"/>
      <c r="CT31" s="95"/>
      <c r="CU31" s="95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</row>
    <row r="32" spans="1:125" ht="6.75" customHeight="1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40"/>
      <c r="DT32" s="40"/>
      <c r="DU32" s="40"/>
    </row>
    <row r="33" spans="1:125" ht="17.25" customHeight="1" x14ac:dyDescent="0.3">
      <c r="A33" s="20"/>
      <c r="B33" s="23" t="s">
        <v>11</v>
      </c>
      <c r="C33" s="20"/>
      <c r="D33" s="20"/>
      <c r="E33" s="20"/>
      <c r="F33" s="80" t="s">
        <v>53</v>
      </c>
      <c r="G33" s="80"/>
      <c r="H33" s="80"/>
      <c r="I33" s="80" t="s">
        <v>52</v>
      </c>
      <c r="J33" s="80"/>
      <c r="K33" s="80"/>
      <c r="L33" s="80" t="s">
        <v>52</v>
      </c>
      <c r="M33" s="80"/>
      <c r="N33" s="80"/>
      <c r="O33" s="20"/>
      <c r="P33" s="23" t="s">
        <v>12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2" t="s">
        <v>14</v>
      </c>
      <c r="CX33" s="20"/>
      <c r="CY33" s="20"/>
      <c r="CZ33" s="80"/>
      <c r="DA33" s="80"/>
      <c r="DB33" s="80"/>
      <c r="DC33" s="80"/>
      <c r="DD33" s="80"/>
      <c r="DE33" s="80"/>
      <c r="DF33" s="80"/>
      <c r="DG33" s="80"/>
      <c r="DH33" s="80"/>
      <c r="DI33" s="20"/>
      <c r="DJ33" s="23" t="s">
        <v>13</v>
      </c>
      <c r="DK33" s="20"/>
      <c r="DL33" s="20"/>
      <c r="DM33" s="20"/>
      <c r="DN33" s="20"/>
      <c r="DO33" s="20"/>
      <c r="DP33" s="20"/>
      <c r="DQ33" s="20"/>
      <c r="DR33" s="20"/>
      <c r="DS33" s="40"/>
      <c r="DT33" s="40"/>
      <c r="DU33" s="40"/>
    </row>
    <row r="34" spans="1:125" ht="18" customHeight="1" x14ac:dyDescent="0.3">
      <c r="A34" s="20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20"/>
      <c r="DS34" s="40"/>
      <c r="DT34" s="40"/>
      <c r="DU34" s="40"/>
    </row>
    <row r="35" spans="1:125" ht="13.5" customHeight="1" x14ac:dyDescent="0.3">
      <c r="A35" s="20"/>
      <c r="B35" s="123" t="s">
        <v>15</v>
      </c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5"/>
      <c r="BK35" s="122" t="s">
        <v>17</v>
      </c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20"/>
      <c r="DS35" s="40"/>
      <c r="DT35" s="40"/>
      <c r="DU35" s="40"/>
    </row>
    <row r="36" spans="1:125" x14ac:dyDescent="0.3">
      <c r="A36" s="20"/>
      <c r="B36" s="126" t="s">
        <v>16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7"/>
      <c r="BK36" s="124" t="s">
        <v>18</v>
      </c>
      <c r="BL36" s="96"/>
      <c r="BM36" s="96"/>
      <c r="BN36" s="96"/>
      <c r="BO36" s="96"/>
      <c r="BP36" s="96"/>
      <c r="BQ36" s="96"/>
      <c r="BR36" s="96"/>
      <c r="BS36" s="96"/>
      <c r="BT36" s="96"/>
      <c r="BU36" s="96"/>
      <c r="BV36" s="96"/>
      <c r="BW36" s="96"/>
      <c r="BX36" s="96"/>
      <c r="BY36" s="96"/>
      <c r="BZ36" s="96"/>
      <c r="CA36" s="96"/>
      <c r="CB36" s="96"/>
      <c r="CC36" s="96"/>
      <c r="CD36" s="96"/>
      <c r="CE36" s="96"/>
      <c r="CF36" s="96"/>
      <c r="CG36" s="96"/>
      <c r="CH36" s="96"/>
      <c r="CI36" s="96"/>
      <c r="CJ36" s="96"/>
      <c r="CK36" s="96"/>
      <c r="CL36" s="96"/>
      <c r="CM36" s="96"/>
      <c r="CN36" s="96"/>
      <c r="CO36" s="96"/>
      <c r="CP36" s="96"/>
      <c r="CQ36" s="96"/>
      <c r="CR36" s="96"/>
      <c r="CS36" s="96"/>
      <c r="CT36" s="96"/>
      <c r="CU36" s="96"/>
      <c r="CV36" s="96"/>
      <c r="CW36" s="96"/>
      <c r="CX36" s="96"/>
      <c r="CY36" s="96"/>
      <c r="CZ36" s="96"/>
      <c r="DA36" s="96"/>
      <c r="DB36" s="96"/>
      <c r="DC36" s="96"/>
      <c r="DD36" s="96"/>
      <c r="DE36" s="96"/>
      <c r="DF36" s="96"/>
      <c r="DG36" s="96"/>
      <c r="DH36" s="96"/>
      <c r="DI36" s="96"/>
      <c r="DJ36" s="96"/>
      <c r="DK36" s="96"/>
      <c r="DL36" s="96"/>
      <c r="DM36" s="96"/>
      <c r="DN36" s="96"/>
      <c r="DO36" s="96"/>
      <c r="DP36" s="96"/>
      <c r="DQ36" s="96"/>
      <c r="DR36" s="20"/>
      <c r="DS36" s="40"/>
      <c r="DT36" s="40"/>
      <c r="DU36" s="40"/>
    </row>
    <row r="37" spans="1:125" ht="3.75" customHeight="1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1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</row>
    <row r="38" spans="1:125" ht="3.75" customHeight="1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117" t="s">
        <v>20</v>
      </c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21"/>
      <c r="BK38" s="20"/>
      <c r="BL38" s="116" t="s">
        <v>19</v>
      </c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20"/>
      <c r="DI38" s="89"/>
      <c r="DJ38" s="90"/>
      <c r="DK38" s="91"/>
      <c r="DL38" s="89"/>
      <c r="DM38" s="90"/>
      <c r="DN38" s="91"/>
      <c r="DO38" s="20"/>
      <c r="DP38" s="20"/>
      <c r="DQ38" s="20"/>
      <c r="DR38" s="20"/>
      <c r="DS38" s="40"/>
      <c r="DT38" s="40"/>
      <c r="DU38" s="40"/>
    </row>
    <row r="39" spans="1:125" ht="13.5" customHeight="1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89" t="s">
        <v>44</v>
      </c>
      <c r="O39" s="90"/>
      <c r="P39" s="91"/>
      <c r="Q39" s="20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7"/>
      <c r="AO39" s="117"/>
      <c r="AP39" s="117"/>
      <c r="AQ39" s="117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  <c r="BG39" s="117"/>
      <c r="BH39" s="117"/>
      <c r="BI39" s="117"/>
      <c r="BJ39" s="21"/>
      <c r="BK39" s="20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20"/>
      <c r="DI39" s="92"/>
      <c r="DJ39" s="93"/>
      <c r="DK39" s="94"/>
      <c r="DL39" s="92"/>
      <c r="DM39" s="93"/>
      <c r="DN39" s="94"/>
      <c r="DO39" s="20"/>
      <c r="DP39" s="20"/>
      <c r="DQ39" s="20"/>
      <c r="DR39" s="20"/>
      <c r="DS39" s="40"/>
      <c r="DT39" s="40"/>
      <c r="DU39" s="40"/>
    </row>
    <row r="40" spans="1:125" ht="3.75" customHeight="1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92"/>
      <c r="O40" s="93"/>
      <c r="P40" s="94"/>
      <c r="Q40" s="20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7"/>
      <c r="AP40" s="117"/>
      <c r="AQ40" s="117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21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</row>
    <row r="41" spans="1:125" ht="4.5" customHeight="1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21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</row>
    <row r="42" spans="1:125" ht="17.25" customHeight="1" x14ac:dyDescent="0.3">
      <c r="A42" s="2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21"/>
      <c r="BK42" s="20"/>
      <c r="BL42" s="20"/>
      <c r="BM42" s="20"/>
      <c r="BN42" s="20"/>
      <c r="BO42" s="23" t="s">
        <v>21</v>
      </c>
      <c r="BP42" s="20"/>
      <c r="BQ42" s="20"/>
      <c r="BR42" s="20"/>
      <c r="BS42" s="20"/>
      <c r="BT42" s="20"/>
      <c r="BU42" s="20"/>
      <c r="BV42" s="20"/>
      <c r="BW42" s="20"/>
      <c r="BX42" s="20"/>
      <c r="BY42" s="80"/>
      <c r="BZ42" s="80"/>
      <c r="CA42" s="80"/>
      <c r="CB42" s="80"/>
      <c r="CC42" s="80"/>
      <c r="CD42" s="80"/>
      <c r="CE42" s="80"/>
      <c r="CF42" s="80"/>
      <c r="CG42" s="80"/>
      <c r="CH42" s="20"/>
      <c r="CI42" s="20"/>
      <c r="CJ42" s="20"/>
      <c r="CK42" s="20"/>
      <c r="CL42" s="20"/>
      <c r="CM42" s="20"/>
      <c r="CN42" s="20"/>
      <c r="CO42" s="20"/>
      <c r="CP42" s="20"/>
      <c r="CQ42" s="23" t="s">
        <v>12</v>
      </c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40"/>
      <c r="DT42" s="40"/>
      <c r="DU42" s="40"/>
    </row>
    <row r="43" spans="1:125" ht="3" customHeight="1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1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40"/>
      <c r="DT43" s="40"/>
      <c r="DU43" s="40"/>
    </row>
    <row r="44" spans="1:125" ht="12" customHeight="1" x14ac:dyDescent="0.3">
      <c r="A44" s="20"/>
      <c r="B44" s="89"/>
      <c r="C44" s="90"/>
      <c r="D44" s="91"/>
      <c r="E44" s="89"/>
      <c r="F44" s="90"/>
      <c r="G44" s="91"/>
      <c r="H44" s="89"/>
      <c r="I44" s="90"/>
      <c r="J44" s="91"/>
      <c r="K44" s="89"/>
      <c r="L44" s="90"/>
      <c r="M44" s="91"/>
      <c r="N44" s="89"/>
      <c r="O44" s="90"/>
      <c r="P44" s="91"/>
      <c r="Q44" s="89"/>
      <c r="R44" s="90"/>
      <c r="S44" s="91"/>
      <c r="T44" s="89"/>
      <c r="U44" s="90"/>
      <c r="V44" s="91"/>
      <c r="W44" s="89"/>
      <c r="X44" s="90"/>
      <c r="Y44" s="91"/>
      <c r="Z44" s="89"/>
      <c r="AA44" s="90"/>
      <c r="AB44" s="91"/>
      <c r="AC44" s="89"/>
      <c r="AD44" s="90"/>
      <c r="AE44" s="91"/>
      <c r="AF44" s="89"/>
      <c r="AG44" s="90"/>
      <c r="AH44" s="91"/>
      <c r="AI44" s="89"/>
      <c r="AJ44" s="90"/>
      <c r="AK44" s="91"/>
      <c r="AL44" s="89"/>
      <c r="AM44" s="90"/>
      <c r="AN44" s="91"/>
      <c r="AO44" s="89"/>
      <c r="AP44" s="90"/>
      <c r="AQ44" s="91"/>
      <c r="AR44" s="89"/>
      <c r="AS44" s="90"/>
      <c r="AT44" s="91"/>
      <c r="AU44" s="89"/>
      <c r="AV44" s="90"/>
      <c r="AW44" s="91"/>
      <c r="AX44" s="89"/>
      <c r="AY44" s="90"/>
      <c r="AZ44" s="91"/>
      <c r="BA44" s="89"/>
      <c r="BB44" s="90"/>
      <c r="BC44" s="91"/>
      <c r="BD44" s="89"/>
      <c r="BE44" s="90"/>
      <c r="BF44" s="91"/>
      <c r="BG44" s="89"/>
      <c r="BH44" s="90"/>
      <c r="BI44" s="91"/>
      <c r="BJ44" s="21"/>
      <c r="BK44" s="120" t="s">
        <v>14</v>
      </c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24"/>
      <c r="CN44" s="24"/>
      <c r="CO44" s="24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</row>
    <row r="45" spans="1:125" ht="5.25" customHeight="1" x14ac:dyDescent="0.3">
      <c r="A45" s="20"/>
      <c r="B45" s="92"/>
      <c r="C45" s="93"/>
      <c r="D45" s="94"/>
      <c r="E45" s="92"/>
      <c r="F45" s="93"/>
      <c r="G45" s="94"/>
      <c r="H45" s="92"/>
      <c r="I45" s="93"/>
      <c r="J45" s="94"/>
      <c r="K45" s="92"/>
      <c r="L45" s="93"/>
      <c r="M45" s="94"/>
      <c r="N45" s="92"/>
      <c r="O45" s="93"/>
      <c r="P45" s="94"/>
      <c r="Q45" s="92"/>
      <c r="R45" s="93"/>
      <c r="S45" s="94"/>
      <c r="T45" s="92"/>
      <c r="U45" s="93"/>
      <c r="V45" s="94"/>
      <c r="W45" s="92"/>
      <c r="X45" s="93"/>
      <c r="Y45" s="94"/>
      <c r="Z45" s="92"/>
      <c r="AA45" s="93"/>
      <c r="AB45" s="94"/>
      <c r="AC45" s="92"/>
      <c r="AD45" s="93"/>
      <c r="AE45" s="94"/>
      <c r="AF45" s="92"/>
      <c r="AG45" s="93"/>
      <c r="AH45" s="94"/>
      <c r="AI45" s="92"/>
      <c r="AJ45" s="93"/>
      <c r="AK45" s="94"/>
      <c r="AL45" s="92"/>
      <c r="AM45" s="93"/>
      <c r="AN45" s="94"/>
      <c r="AO45" s="92"/>
      <c r="AP45" s="93"/>
      <c r="AQ45" s="94"/>
      <c r="AR45" s="92"/>
      <c r="AS45" s="93"/>
      <c r="AT45" s="94"/>
      <c r="AU45" s="92"/>
      <c r="AV45" s="93"/>
      <c r="AW45" s="94"/>
      <c r="AX45" s="92"/>
      <c r="AY45" s="93"/>
      <c r="AZ45" s="94"/>
      <c r="BA45" s="92"/>
      <c r="BB45" s="93"/>
      <c r="BC45" s="94"/>
      <c r="BD45" s="92"/>
      <c r="BE45" s="93"/>
      <c r="BF45" s="94"/>
      <c r="BG45" s="92"/>
      <c r="BH45" s="93"/>
      <c r="BI45" s="94"/>
      <c r="BJ45" s="21"/>
      <c r="BK45" s="120"/>
      <c r="BL45" s="121"/>
      <c r="BM45" s="121"/>
      <c r="BN45" s="121"/>
      <c r="BO45" s="121"/>
      <c r="BP45" s="121"/>
      <c r="BQ45" s="121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24"/>
      <c r="CN45" s="24"/>
      <c r="CO45" s="24"/>
      <c r="CP45" s="20"/>
      <c r="CQ45" s="20"/>
      <c r="CR45" s="89"/>
      <c r="CS45" s="90"/>
      <c r="CT45" s="91"/>
      <c r="CU45" s="89"/>
      <c r="CV45" s="90"/>
      <c r="CW45" s="91"/>
      <c r="CX45" s="89"/>
      <c r="CY45" s="90"/>
      <c r="CZ45" s="91"/>
      <c r="DA45" s="20"/>
      <c r="DB45" s="20"/>
      <c r="DC45" s="20"/>
      <c r="DD45" s="20"/>
      <c r="DE45" s="20"/>
      <c r="DF45" s="119" t="s">
        <v>13</v>
      </c>
      <c r="DG45" s="119"/>
      <c r="DH45" s="119"/>
      <c r="DI45" s="119"/>
      <c r="DJ45" s="119"/>
      <c r="DK45" s="119"/>
      <c r="DL45" s="119"/>
      <c r="DM45" s="119"/>
      <c r="DN45" s="119"/>
      <c r="DO45" s="119"/>
      <c r="DP45" s="119"/>
      <c r="DQ45" s="119"/>
      <c r="DR45" s="20"/>
      <c r="DS45" s="40"/>
      <c r="DT45" s="40"/>
      <c r="DU45" s="40"/>
    </row>
    <row r="46" spans="1:125" ht="3" customHeight="1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1"/>
      <c r="BK46" s="120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24"/>
      <c r="CN46" s="24"/>
      <c r="CO46" s="24"/>
      <c r="CP46" s="20"/>
      <c r="CQ46" s="20"/>
      <c r="CR46" s="111"/>
      <c r="CS46" s="95"/>
      <c r="CT46" s="112"/>
      <c r="CU46" s="111"/>
      <c r="CV46" s="95"/>
      <c r="CW46" s="112"/>
      <c r="CX46" s="111"/>
      <c r="CY46" s="95"/>
      <c r="CZ46" s="112"/>
      <c r="DA46" s="20"/>
      <c r="DB46" s="20"/>
      <c r="DC46" s="20"/>
      <c r="DD46" s="20"/>
      <c r="DE46" s="20"/>
      <c r="DF46" s="119"/>
      <c r="DG46" s="119"/>
      <c r="DH46" s="119"/>
      <c r="DI46" s="119"/>
      <c r="DJ46" s="119"/>
      <c r="DK46" s="119"/>
      <c r="DL46" s="119"/>
      <c r="DM46" s="119"/>
      <c r="DN46" s="119"/>
      <c r="DO46" s="119"/>
      <c r="DP46" s="119"/>
      <c r="DQ46" s="119"/>
      <c r="DR46" s="20"/>
      <c r="DS46" s="40"/>
      <c r="DT46" s="40"/>
      <c r="DU46" s="40"/>
    </row>
    <row r="47" spans="1:125" ht="9.75" customHeight="1" x14ac:dyDescent="0.3">
      <c r="A47" s="20"/>
      <c r="B47" s="89"/>
      <c r="C47" s="90"/>
      <c r="D47" s="91"/>
      <c r="E47" s="89"/>
      <c r="F47" s="90"/>
      <c r="G47" s="91"/>
      <c r="H47" s="89"/>
      <c r="I47" s="90"/>
      <c r="J47" s="91"/>
      <c r="K47" s="89"/>
      <c r="L47" s="90"/>
      <c r="M47" s="91"/>
      <c r="N47" s="89"/>
      <c r="O47" s="90"/>
      <c r="P47" s="91"/>
      <c r="Q47" s="89"/>
      <c r="R47" s="90"/>
      <c r="S47" s="91"/>
      <c r="T47" s="89"/>
      <c r="U47" s="90"/>
      <c r="V47" s="91"/>
      <c r="W47" s="89"/>
      <c r="X47" s="90"/>
      <c r="Y47" s="91"/>
      <c r="Z47" s="89"/>
      <c r="AA47" s="90"/>
      <c r="AB47" s="91"/>
      <c r="AC47" s="89"/>
      <c r="AD47" s="90"/>
      <c r="AE47" s="91"/>
      <c r="AF47" s="89"/>
      <c r="AG47" s="90"/>
      <c r="AH47" s="91"/>
      <c r="AI47" s="89"/>
      <c r="AJ47" s="90"/>
      <c r="AK47" s="91"/>
      <c r="AL47" s="89"/>
      <c r="AM47" s="90"/>
      <c r="AN47" s="91"/>
      <c r="AO47" s="89"/>
      <c r="AP47" s="90"/>
      <c r="AQ47" s="91"/>
      <c r="AR47" s="89"/>
      <c r="AS47" s="90"/>
      <c r="AT47" s="91"/>
      <c r="AU47" s="89"/>
      <c r="AV47" s="90"/>
      <c r="AW47" s="91"/>
      <c r="AX47" s="89"/>
      <c r="AY47" s="90"/>
      <c r="AZ47" s="91"/>
      <c r="BA47" s="89"/>
      <c r="BB47" s="90"/>
      <c r="BC47" s="91"/>
      <c r="BD47" s="89"/>
      <c r="BE47" s="90"/>
      <c r="BF47" s="91"/>
      <c r="BG47" s="89"/>
      <c r="BH47" s="90"/>
      <c r="BI47" s="91"/>
      <c r="BJ47" s="21"/>
      <c r="BK47" s="120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24"/>
      <c r="CN47" s="24"/>
      <c r="CO47" s="24"/>
      <c r="CP47" s="20"/>
      <c r="CQ47" s="20"/>
      <c r="CR47" s="92"/>
      <c r="CS47" s="93"/>
      <c r="CT47" s="94"/>
      <c r="CU47" s="92"/>
      <c r="CV47" s="93"/>
      <c r="CW47" s="94"/>
      <c r="CX47" s="92"/>
      <c r="CY47" s="93"/>
      <c r="CZ47" s="94"/>
      <c r="DA47" s="20"/>
      <c r="DB47" s="20"/>
      <c r="DC47" s="20"/>
      <c r="DD47" s="20"/>
      <c r="DE47" s="20"/>
      <c r="DF47" s="119"/>
      <c r="DG47" s="119"/>
      <c r="DH47" s="119"/>
      <c r="DI47" s="119"/>
      <c r="DJ47" s="119"/>
      <c r="DK47" s="119"/>
      <c r="DL47" s="119"/>
      <c r="DM47" s="119"/>
      <c r="DN47" s="119"/>
      <c r="DO47" s="119"/>
      <c r="DP47" s="119"/>
      <c r="DQ47" s="119"/>
      <c r="DR47" s="20"/>
      <c r="DS47" s="40"/>
      <c r="DT47" s="40"/>
      <c r="DU47" s="40"/>
    </row>
    <row r="48" spans="1:125" ht="8.25" customHeight="1" x14ac:dyDescent="0.3">
      <c r="A48" s="20"/>
      <c r="B48" s="92"/>
      <c r="C48" s="93"/>
      <c r="D48" s="94"/>
      <c r="E48" s="92"/>
      <c r="F48" s="93"/>
      <c r="G48" s="94"/>
      <c r="H48" s="92"/>
      <c r="I48" s="93"/>
      <c r="J48" s="94"/>
      <c r="K48" s="92"/>
      <c r="L48" s="93"/>
      <c r="M48" s="94"/>
      <c r="N48" s="92"/>
      <c r="O48" s="93"/>
      <c r="P48" s="94"/>
      <c r="Q48" s="92"/>
      <c r="R48" s="93"/>
      <c r="S48" s="94"/>
      <c r="T48" s="92"/>
      <c r="U48" s="93"/>
      <c r="V48" s="94"/>
      <c r="W48" s="92"/>
      <c r="X48" s="93"/>
      <c r="Y48" s="94"/>
      <c r="Z48" s="92"/>
      <c r="AA48" s="93"/>
      <c r="AB48" s="94"/>
      <c r="AC48" s="92"/>
      <c r="AD48" s="93"/>
      <c r="AE48" s="94"/>
      <c r="AF48" s="92"/>
      <c r="AG48" s="93"/>
      <c r="AH48" s="94"/>
      <c r="AI48" s="92"/>
      <c r="AJ48" s="93"/>
      <c r="AK48" s="94"/>
      <c r="AL48" s="92"/>
      <c r="AM48" s="93"/>
      <c r="AN48" s="94"/>
      <c r="AO48" s="92"/>
      <c r="AP48" s="93"/>
      <c r="AQ48" s="94"/>
      <c r="AR48" s="92"/>
      <c r="AS48" s="93"/>
      <c r="AT48" s="94"/>
      <c r="AU48" s="92"/>
      <c r="AV48" s="93"/>
      <c r="AW48" s="94"/>
      <c r="AX48" s="92"/>
      <c r="AY48" s="93"/>
      <c r="AZ48" s="94"/>
      <c r="BA48" s="92"/>
      <c r="BB48" s="93"/>
      <c r="BC48" s="94"/>
      <c r="BD48" s="92"/>
      <c r="BE48" s="93"/>
      <c r="BF48" s="94"/>
      <c r="BG48" s="92"/>
      <c r="BH48" s="93"/>
      <c r="BI48" s="94"/>
      <c r="BJ48" s="21"/>
      <c r="BK48" s="120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24"/>
      <c r="CN48" s="24"/>
      <c r="CO48" s="24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40"/>
      <c r="DT48" s="40"/>
      <c r="DU48" s="40"/>
    </row>
    <row r="49" spans="1:125" ht="8.25" customHeight="1" x14ac:dyDescent="0.3">
      <c r="A49" s="20"/>
      <c r="B49" s="113" t="s">
        <v>61</v>
      </c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21"/>
      <c r="BK49" s="20"/>
      <c r="BL49" s="115" t="s">
        <v>22</v>
      </c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40"/>
      <c r="DT49" s="40"/>
      <c r="DU49" s="40"/>
    </row>
    <row r="50" spans="1:125" ht="9.75" customHeight="1" x14ac:dyDescent="0.3">
      <c r="A50" s="20"/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21"/>
      <c r="BK50" s="20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20"/>
      <c r="CM50" s="20"/>
      <c r="CN50" s="89"/>
      <c r="CO50" s="90"/>
      <c r="CP50" s="91"/>
      <c r="CQ50" s="89"/>
      <c r="CR50" s="90"/>
      <c r="CS50" s="91"/>
      <c r="CT50" s="105" t="s">
        <v>6</v>
      </c>
      <c r="CU50" s="106"/>
      <c r="CV50" s="106"/>
      <c r="CW50" s="89"/>
      <c r="CX50" s="90"/>
      <c r="CY50" s="91"/>
      <c r="CZ50" s="89"/>
      <c r="DA50" s="90"/>
      <c r="DB50" s="91"/>
      <c r="DC50" s="105" t="s">
        <v>6</v>
      </c>
      <c r="DD50" s="106"/>
      <c r="DE50" s="107"/>
      <c r="DF50" s="89"/>
      <c r="DG50" s="90"/>
      <c r="DH50" s="91"/>
      <c r="DI50" s="89"/>
      <c r="DJ50" s="90"/>
      <c r="DK50" s="91"/>
      <c r="DL50" s="89"/>
      <c r="DM50" s="90"/>
      <c r="DN50" s="91"/>
      <c r="DO50" s="89"/>
      <c r="DP50" s="90"/>
      <c r="DQ50" s="91"/>
      <c r="DR50" s="20"/>
      <c r="DS50" s="40"/>
      <c r="DT50" s="40"/>
      <c r="DU50" s="40"/>
    </row>
    <row r="51" spans="1:125" ht="7.5" customHeight="1" x14ac:dyDescent="0.3">
      <c r="A51" s="20"/>
      <c r="B51" s="89"/>
      <c r="C51" s="90"/>
      <c r="D51" s="91"/>
      <c r="E51" s="89"/>
      <c r="F51" s="90"/>
      <c r="G51" s="91"/>
      <c r="H51" s="89"/>
      <c r="I51" s="90"/>
      <c r="J51" s="91"/>
      <c r="K51" s="89"/>
      <c r="L51" s="90"/>
      <c r="M51" s="91"/>
      <c r="N51" s="89"/>
      <c r="O51" s="90"/>
      <c r="P51" s="91"/>
      <c r="Q51" s="89"/>
      <c r="R51" s="90"/>
      <c r="S51" s="91"/>
      <c r="T51" s="89"/>
      <c r="U51" s="90"/>
      <c r="V51" s="91"/>
      <c r="W51" s="89"/>
      <c r="X51" s="90"/>
      <c r="Y51" s="91"/>
      <c r="Z51" s="89"/>
      <c r="AA51" s="90"/>
      <c r="AB51" s="91"/>
      <c r="AC51" s="89"/>
      <c r="AD51" s="90"/>
      <c r="AE51" s="91"/>
      <c r="AF51" s="89"/>
      <c r="AG51" s="90"/>
      <c r="AH51" s="91"/>
      <c r="AI51" s="89"/>
      <c r="AJ51" s="90"/>
      <c r="AK51" s="91"/>
      <c r="AL51" s="89"/>
      <c r="AM51" s="90"/>
      <c r="AN51" s="91"/>
      <c r="AO51" s="89"/>
      <c r="AP51" s="90"/>
      <c r="AQ51" s="91"/>
      <c r="AR51" s="89"/>
      <c r="AS51" s="90"/>
      <c r="AT51" s="91"/>
      <c r="AU51" s="89"/>
      <c r="AV51" s="90"/>
      <c r="AW51" s="91"/>
      <c r="AX51" s="89"/>
      <c r="AY51" s="90"/>
      <c r="AZ51" s="91"/>
      <c r="BA51" s="89"/>
      <c r="BB51" s="90"/>
      <c r="BC51" s="91"/>
      <c r="BD51" s="89"/>
      <c r="BE51" s="90"/>
      <c r="BF51" s="91"/>
      <c r="BG51" s="89"/>
      <c r="BH51" s="90"/>
      <c r="BI51" s="91"/>
      <c r="BJ51" s="21"/>
      <c r="BK51" s="20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20"/>
      <c r="CM51" s="20"/>
      <c r="CN51" s="92"/>
      <c r="CO51" s="93"/>
      <c r="CP51" s="94"/>
      <c r="CQ51" s="92"/>
      <c r="CR51" s="93"/>
      <c r="CS51" s="94"/>
      <c r="CT51" s="105"/>
      <c r="CU51" s="106"/>
      <c r="CV51" s="106"/>
      <c r="CW51" s="92"/>
      <c r="CX51" s="93"/>
      <c r="CY51" s="94"/>
      <c r="CZ51" s="92"/>
      <c r="DA51" s="93"/>
      <c r="DB51" s="94"/>
      <c r="DC51" s="105"/>
      <c r="DD51" s="106"/>
      <c r="DE51" s="107"/>
      <c r="DF51" s="92"/>
      <c r="DG51" s="93"/>
      <c r="DH51" s="94"/>
      <c r="DI51" s="92"/>
      <c r="DJ51" s="93"/>
      <c r="DK51" s="94"/>
      <c r="DL51" s="92"/>
      <c r="DM51" s="93"/>
      <c r="DN51" s="94"/>
      <c r="DO51" s="92"/>
      <c r="DP51" s="93"/>
      <c r="DQ51" s="94"/>
      <c r="DR51" s="20"/>
      <c r="DS51" s="40"/>
      <c r="DT51" s="40"/>
      <c r="DU51" s="40"/>
    </row>
    <row r="52" spans="1:125" ht="10.5" customHeight="1" x14ac:dyDescent="0.3">
      <c r="A52" s="20"/>
      <c r="B52" s="92"/>
      <c r="C52" s="93"/>
      <c r="D52" s="94"/>
      <c r="E52" s="92"/>
      <c r="F52" s="93"/>
      <c r="G52" s="94"/>
      <c r="H52" s="92"/>
      <c r="I52" s="93"/>
      <c r="J52" s="94"/>
      <c r="K52" s="92"/>
      <c r="L52" s="93"/>
      <c r="M52" s="94"/>
      <c r="N52" s="92"/>
      <c r="O52" s="93"/>
      <c r="P52" s="94"/>
      <c r="Q52" s="92"/>
      <c r="R52" s="93"/>
      <c r="S52" s="94"/>
      <c r="T52" s="92"/>
      <c r="U52" s="93"/>
      <c r="V52" s="94"/>
      <c r="W52" s="92"/>
      <c r="X52" s="93"/>
      <c r="Y52" s="94"/>
      <c r="Z52" s="92"/>
      <c r="AA52" s="93"/>
      <c r="AB52" s="94"/>
      <c r="AC52" s="92"/>
      <c r="AD52" s="93"/>
      <c r="AE52" s="94"/>
      <c r="AF52" s="92"/>
      <c r="AG52" s="93"/>
      <c r="AH52" s="94"/>
      <c r="AI52" s="92"/>
      <c r="AJ52" s="93"/>
      <c r="AK52" s="94"/>
      <c r="AL52" s="92"/>
      <c r="AM52" s="93"/>
      <c r="AN52" s="94"/>
      <c r="AO52" s="92"/>
      <c r="AP52" s="93"/>
      <c r="AQ52" s="94"/>
      <c r="AR52" s="92"/>
      <c r="AS52" s="93"/>
      <c r="AT52" s="94"/>
      <c r="AU52" s="92"/>
      <c r="AV52" s="93"/>
      <c r="AW52" s="94"/>
      <c r="AX52" s="92"/>
      <c r="AY52" s="93"/>
      <c r="AZ52" s="94"/>
      <c r="BA52" s="92"/>
      <c r="BB52" s="93"/>
      <c r="BC52" s="94"/>
      <c r="BD52" s="92"/>
      <c r="BE52" s="93"/>
      <c r="BF52" s="94"/>
      <c r="BG52" s="92"/>
      <c r="BH52" s="93"/>
      <c r="BI52" s="94"/>
      <c r="BJ52" s="21"/>
      <c r="BK52" s="100" t="s">
        <v>23</v>
      </c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25"/>
      <c r="CE52" s="25"/>
      <c r="CF52" s="25"/>
      <c r="CG52" s="25"/>
      <c r="CH52" s="25"/>
      <c r="CI52" s="25"/>
      <c r="CJ52" s="25"/>
      <c r="CK52" s="25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</row>
    <row r="53" spans="1:125" ht="3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1"/>
      <c r="BK53" s="100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20"/>
      <c r="CE53" s="89"/>
      <c r="CF53" s="90"/>
      <c r="CG53" s="91"/>
      <c r="CH53" s="89"/>
      <c r="CI53" s="90"/>
      <c r="CJ53" s="91"/>
      <c r="CK53" s="89"/>
      <c r="CL53" s="90"/>
      <c r="CM53" s="91"/>
      <c r="CN53" s="89"/>
      <c r="CO53" s="90"/>
      <c r="CP53" s="91"/>
      <c r="CQ53" s="89"/>
      <c r="CR53" s="90"/>
      <c r="CS53" s="91"/>
      <c r="CT53" s="89"/>
      <c r="CU53" s="90"/>
      <c r="CV53" s="91"/>
      <c r="CW53" s="89"/>
      <c r="CX53" s="90"/>
      <c r="CY53" s="91"/>
      <c r="CZ53" s="89"/>
      <c r="DA53" s="90"/>
      <c r="DB53" s="91"/>
      <c r="DC53" s="89"/>
      <c r="DD53" s="90"/>
      <c r="DE53" s="91"/>
      <c r="DF53" s="89"/>
      <c r="DG53" s="90"/>
      <c r="DH53" s="91"/>
      <c r="DI53" s="89"/>
      <c r="DJ53" s="90"/>
      <c r="DK53" s="91"/>
      <c r="DL53" s="89"/>
      <c r="DM53" s="90"/>
      <c r="DN53" s="91"/>
      <c r="DO53" s="89"/>
      <c r="DP53" s="90"/>
      <c r="DQ53" s="91"/>
      <c r="DR53" s="20"/>
      <c r="DS53" s="40"/>
      <c r="DT53" s="40"/>
      <c r="DU53" s="40"/>
    </row>
    <row r="54" spans="1:125" ht="15" customHeight="1" x14ac:dyDescent="0.3">
      <c r="A54" s="20"/>
      <c r="B54" s="89"/>
      <c r="C54" s="90"/>
      <c r="D54" s="91"/>
      <c r="E54" s="89"/>
      <c r="F54" s="90"/>
      <c r="G54" s="91"/>
      <c r="H54" s="89"/>
      <c r="I54" s="90"/>
      <c r="J54" s="91"/>
      <c r="K54" s="89"/>
      <c r="L54" s="90"/>
      <c r="M54" s="91"/>
      <c r="N54" s="89"/>
      <c r="O54" s="90"/>
      <c r="P54" s="91"/>
      <c r="Q54" s="89"/>
      <c r="R54" s="90"/>
      <c r="S54" s="91"/>
      <c r="T54" s="89"/>
      <c r="U54" s="90"/>
      <c r="V54" s="91"/>
      <c r="W54" s="89"/>
      <c r="X54" s="90"/>
      <c r="Y54" s="91"/>
      <c r="Z54" s="89"/>
      <c r="AA54" s="90"/>
      <c r="AB54" s="91"/>
      <c r="AC54" s="89"/>
      <c r="AD54" s="90"/>
      <c r="AE54" s="91"/>
      <c r="AF54" s="89"/>
      <c r="AG54" s="90"/>
      <c r="AH54" s="91"/>
      <c r="AI54" s="89"/>
      <c r="AJ54" s="90"/>
      <c r="AK54" s="91"/>
      <c r="AL54" s="89"/>
      <c r="AM54" s="90"/>
      <c r="AN54" s="91"/>
      <c r="AO54" s="89"/>
      <c r="AP54" s="90"/>
      <c r="AQ54" s="91"/>
      <c r="AR54" s="89"/>
      <c r="AS54" s="90"/>
      <c r="AT54" s="91"/>
      <c r="AU54" s="89"/>
      <c r="AV54" s="90"/>
      <c r="AW54" s="91"/>
      <c r="AX54" s="89"/>
      <c r="AY54" s="90"/>
      <c r="AZ54" s="91"/>
      <c r="BA54" s="89"/>
      <c r="BB54" s="90"/>
      <c r="BC54" s="91"/>
      <c r="BD54" s="89"/>
      <c r="BE54" s="90"/>
      <c r="BF54" s="91"/>
      <c r="BG54" s="89"/>
      <c r="BH54" s="90"/>
      <c r="BI54" s="91"/>
      <c r="BJ54" s="21"/>
      <c r="BK54" s="100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20"/>
      <c r="CE54" s="92"/>
      <c r="CF54" s="93"/>
      <c r="CG54" s="94"/>
      <c r="CH54" s="92"/>
      <c r="CI54" s="93"/>
      <c r="CJ54" s="94"/>
      <c r="CK54" s="92"/>
      <c r="CL54" s="93"/>
      <c r="CM54" s="94"/>
      <c r="CN54" s="92"/>
      <c r="CO54" s="93"/>
      <c r="CP54" s="94"/>
      <c r="CQ54" s="92"/>
      <c r="CR54" s="93"/>
      <c r="CS54" s="94"/>
      <c r="CT54" s="92"/>
      <c r="CU54" s="93"/>
      <c r="CV54" s="94"/>
      <c r="CW54" s="92"/>
      <c r="CX54" s="93"/>
      <c r="CY54" s="94"/>
      <c r="CZ54" s="92"/>
      <c r="DA54" s="93"/>
      <c r="DB54" s="94"/>
      <c r="DC54" s="92"/>
      <c r="DD54" s="93"/>
      <c r="DE54" s="94"/>
      <c r="DF54" s="92"/>
      <c r="DG54" s="93"/>
      <c r="DH54" s="94"/>
      <c r="DI54" s="92"/>
      <c r="DJ54" s="93"/>
      <c r="DK54" s="94"/>
      <c r="DL54" s="92"/>
      <c r="DM54" s="93"/>
      <c r="DN54" s="94"/>
      <c r="DO54" s="92"/>
      <c r="DP54" s="93"/>
      <c r="DQ54" s="94"/>
      <c r="DR54" s="20"/>
      <c r="DS54" s="40"/>
      <c r="DT54" s="40"/>
      <c r="DU54" s="40"/>
    </row>
    <row r="55" spans="1:125" ht="3" customHeight="1" x14ac:dyDescent="0.3">
      <c r="A55" s="20"/>
      <c r="B55" s="92"/>
      <c r="C55" s="93"/>
      <c r="D55" s="94"/>
      <c r="E55" s="92"/>
      <c r="F55" s="93"/>
      <c r="G55" s="94"/>
      <c r="H55" s="92"/>
      <c r="I55" s="93"/>
      <c r="J55" s="94"/>
      <c r="K55" s="92"/>
      <c r="L55" s="93"/>
      <c r="M55" s="94"/>
      <c r="N55" s="92"/>
      <c r="O55" s="93"/>
      <c r="P55" s="94"/>
      <c r="Q55" s="92"/>
      <c r="R55" s="93"/>
      <c r="S55" s="94"/>
      <c r="T55" s="92"/>
      <c r="U55" s="93"/>
      <c r="V55" s="94"/>
      <c r="W55" s="92"/>
      <c r="X55" s="93"/>
      <c r="Y55" s="94"/>
      <c r="Z55" s="92"/>
      <c r="AA55" s="93"/>
      <c r="AB55" s="94"/>
      <c r="AC55" s="92"/>
      <c r="AD55" s="93"/>
      <c r="AE55" s="94"/>
      <c r="AF55" s="92"/>
      <c r="AG55" s="93"/>
      <c r="AH55" s="94"/>
      <c r="AI55" s="92"/>
      <c r="AJ55" s="93"/>
      <c r="AK55" s="94"/>
      <c r="AL55" s="92"/>
      <c r="AM55" s="93"/>
      <c r="AN55" s="94"/>
      <c r="AO55" s="92"/>
      <c r="AP55" s="93"/>
      <c r="AQ55" s="94"/>
      <c r="AR55" s="92"/>
      <c r="AS55" s="93"/>
      <c r="AT55" s="94"/>
      <c r="AU55" s="92"/>
      <c r="AV55" s="93"/>
      <c r="AW55" s="94"/>
      <c r="AX55" s="92"/>
      <c r="AY55" s="93"/>
      <c r="AZ55" s="94"/>
      <c r="BA55" s="92"/>
      <c r="BB55" s="93"/>
      <c r="BC55" s="94"/>
      <c r="BD55" s="92"/>
      <c r="BE55" s="93"/>
      <c r="BF55" s="94"/>
      <c r="BG55" s="92"/>
      <c r="BH55" s="93"/>
      <c r="BI55" s="94"/>
      <c r="BJ55" s="21"/>
      <c r="BK55" s="100"/>
      <c r="BL55" s="101"/>
      <c r="BM55" s="101"/>
      <c r="BN55" s="101"/>
      <c r="BO55" s="101"/>
      <c r="BP55" s="101"/>
      <c r="BQ55" s="101"/>
      <c r="BR55" s="101"/>
      <c r="BS55" s="101"/>
      <c r="BT55" s="101"/>
      <c r="BU55" s="101"/>
      <c r="BV55" s="101"/>
      <c r="BW55" s="101"/>
      <c r="BX55" s="101"/>
      <c r="BY55" s="101"/>
      <c r="BZ55" s="101"/>
      <c r="CA55" s="101"/>
      <c r="CB55" s="101"/>
      <c r="CC55" s="101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</row>
    <row r="56" spans="1:125" ht="3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1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40"/>
      <c r="DT56" s="40"/>
      <c r="DU56" s="40"/>
    </row>
    <row r="57" spans="1:125" ht="17.25" customHeight="1" x14ac:dyDescent="0.3">
      <c r="A57" s="2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21"/>
      <c r="BK57" s="20"/>
      <c r="BL57" s="20"/>
      <c r="BM57" s="20"/>
      <c r="BN57" s="20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102"/>
      <c r="CT57" s="102"/>
      <c r="CU57" s="102"/>
      <c r="CV57" s="102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20"/>
      <c r="DL57" s="20"/>
      <c r="DM57" s="20"/>
      <c r="DN57" s="20"/>
      <c r="DO57" s="20"/>
      <c r="DP57" s="20"/>
      <c r="DQ57" s="20"/>
      <c r="DR57" s="20"/>
      <c r="DS57" s="40"/>
      <c r="DT57" s="40"/>
      <c r="DU57" s="40"/>
    </row>
    <row r="58" spans="1:125" ht="3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1"/>
      <c r="BK58" s="20"/>
      <c r="BL58" s="20"/>
      <c r="BM58" s="20"/>
      <c r="BN58" s="20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  <c r="CB58" s="102"/>
      <c r="CC58" s="102"/>
      <c r="CD58" s="102"/>
      <c r="CE58" s="102"/>
      <c r="CF58" s="102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102"/>
      <c r="CT58" s="102"/>
      <c r="CU58" s="102"/>
      <c r="CV58" s="102"/>
      <c r="CW58" s="102"/>
      <c r="CX58" s="102"/>
      <c r="CY58" s="102"/>
      <c r="CZ58" s="102"/>
      <c r="DA58" s="102"/>
      <c r="DB58" s="102"/>
      <c r="DC58" s="102"/>
      <c r="DD58" s="102"/>
      <c r="DE58" s="102"/>
      <c r="DF58" s="102"/>
      <c r="DG58" s="102"/>
      <c r="DH58" s="102"/>
      <c r="DI58" s="102"/>
      <c r="DJ58" s="102"/>
      <c r="DK58" s="20"/>
      <c r="DL58" s="20"/>
      <c r="DM58" s="20"/>
      <c r="DN58" s="20"/>
      <c r="DO58" s="20"/>
      <c r="DP58" s="20"/>
      <c r="DQ58" s="20"/>
      <c r="DR58" s="20"/>
      <c r="DS58" s="40"/>
      <c r="DT58" s="40"/>
      <c r="DU58" s="40"/>
    </row>
    <row r="59" spans="1:125" ht="5.25" customHeight="1" x14ac:dyDescent="0.3">
      <c r="A59" s="20"/>
      <c r="B59" s="89"/>
      <c r="C59" s="90"/>
      <c r="D59" s="91"/>
      <c r="E59" s="89"/>
      <c r="F59" s="90"/>
      <c r="G59" s="91"/>
      <c r="H59" s="89"/>
      <c r="I59" s="90"/>
      <c r="J59" s="91"/>
      <c r="K59" s="89"/>
      <c r="L59" s="90"/>
      <c r="M59" s="91"/>
      <c r="N59" s="89"/>
      <c r="O59" s="90"/>
      <c r="P59" s="91"/>
      <c r="Q59" s="89"/>
      <c r="R59" s="90"/>
      <c r="S59" s="91"/>
      <c r="T59" s="89"/>
      <c r="U59" s="90"/>
      <c r="V59" s="91"/>
      <c r="W59" s="89"/>
      <c r="X59" s="90"/>
      <c r="Y59" s="91"/>
      <c r="Z59" s="89"/>
      <c r="AA59" s="90"/>
      <c r="AB59" s="91"/>
      <c r="AC59" s="89"/>
      <c r="AD59" s="90"/>
      <c r="AE59" s="91"/>
      <c r="AF59" s="89"/>
      <c r="AG59" s="90"/>
      <c r="AH59" s="91"/>
      <c r="AI59" s="89"/>
      <c r="AJ59" s="90"/>
      <c r="AK59" s="91"/>
      <c r="AL59" s="89"/>
      <c r="AM59" s="90"/>
      <c r="AN59" s="91"/>
      <c r="AO59" s="89"/>
      <c r="AP59" s="90"/>
      <c r="AQ59" s="91"/>
      <c r="AR59" s="89"/>
      <c r="AS59" s="90"/>
      <c r="AT59" s="91"/>
      <c r="AU59" s="89"/>
      <c r="AV59" s="90"/>
      <c r="AW59" s="91"/>
      <c r="AX59" s="89"/>
      <c r="AY59" s="90"/>
      <c r="AZ59" s="91"/>
      <c r="BA59" s="89"/>
      <c r="BB59" s="90"/>
      <c r="BC59" s="91"/>
      <c r="BD59" s="89"/>
      <c r="BE59" s="90"/>
      <c r="BF59" s="91"/>
      <c r="BG59" s="89"/>
      <c r="BH59" s="90"/>
      <c r="BI59" s="91"/>
      <c r="BJ59" s="21"/>
      <c r="BK59" s="20"/>
      <c r="BL59" s="20"/>
      <c r="BM59" s="20"/>
      <c r="BN59" s="20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20"/>
      <c r="DL59" s="20"/>
      <c r="DM59" s="20"/>
      <c r="DN59" s="20"/>
      <c r="DO59" s="20"/>
      <c r="DP59" s="20"/>
      <c r="DQ59" s="20"/>
      <c r="DR59" s="20"/>
      <c r="DS59" s="40"/>
      <c r="DT59" s="40"/>
      <c r="DU59" s="40"/>
    </row>
    <row r="60" spans="1:125" ht="12" customHeight="1" x14ac:dyDescent="0.3">
      <c r="A60" s="20"/>
      <c r="B60" s="92"/>
      <c r="C60" s="93"/>
      <c r="D60" s="94"/>
      <c r="E60" s="92"/>
      <c r="F60" s="93"/>
      <c r="G60" s="94"/>
      <c r="H60" s="92"/>
      <c r="I60" s="93"/>
      <c r="J60" s="94"/>
      <c r="K60" s="92"/>
      <c r="L60" s="93"/>
      <c r="M60" s="94"/>
      <c r="N60" s="92"/>
      <c r="O60" s="93"/>
      <c r="P60" s="94"/>
      <c r="Q60" s="92"/>
      <c r="R60" s="93"/>
      <c r="S60" s="94"/>
      <c r="T60" s="92"/>
      <c r="U60" s="93"/>
      <c r="V60" s="94"/>
      <c r="W60" s="92"/>
      <c r="X60" s="93"/>
      <c r="Y60" s="94"/>
      <c r="Z60" s="92"/>
      <c r="AA60" s="93"/>
      <c r="AB60" s="94"/>
      <c r="AC60" s="92"/>
      <c r="AD60" s="93"/>
      <c r="AE60" s="94"/>
      <c r="AF60" s="92"/>
      <c r="AG60" s="93"/>
      <c r="AH60" s="94"/>
      <c r="AI60" s="92"/>
      <c r="AJ60" s="93"/>
      <c r="AK60" s="94"/>
      <c r="AL60" s="92"/>
      <c r="AM60" s="93"/>
      <c r="AN60" s="94"/>
      <c r="AO60" s="92"/>
      <c r="AP60" s="93"/>
      <c r="AQ60" s="94"/>
      <c r="AR60" s="92"/>
      <c r="AS60" s="93"/>
      <c r="AT60" s="94"/>
      <c r="AU60" s="92"/>
      <c r="AV60" s="93"/>
      <c r="AW60" s="94"/>
      <c r="AX60" s="92"/>
      <c r="AY60" s="93"/>
      <c r="AZ60" s="94"/>
      <c r="BA60" s="92"/>
      <c r="BB60" s="93"/>
      <c r="BC60" s="94"/>
      <c r="BD60" s="92"/>
      <c r="BE60" s="93"/>
      <c r="BF60" s="94"/>
      <c r="BG60" s="92"/>
      <c r="BH60" s="93"/>
      <c r="BI60" s="94"/>
      <c r="BJ60" s="21"/>
      <c r="BK60" s="20"/>
      <c r="BL60" s="20"/>
      <c r="BM60" s="20"/>
      <c r="BN60" s="20"/>
      <c r="BO60" s="98" t="s">
        <v>125</v>
      </c>
      <c r="BP60" s="98"/>
      <c r="BQ60" s="98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98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98" t="s">
        <v>25</v>
      </c>
      <c r="CT60" s="98"/>
      <c r="CU60" s="98"/>
      <c r="CV60" s="98"/>
      <c r="CW60" s="98"/>
      <c r="CX60" s="98"/>
      <c r="CY60" s="98"/>
      <c r="CZ60" s="98"/>
      <c r="DA60" s="98"/>
      <c r="DB60" s="98"/>
      <c r="DC60" s="98"/>
      <c r="DD60" s="98"/>
      <c r="DE60" s="98"/>
      <c r="DF60" s="98"/>
      <c r="DG60" s="98"/>
      <c r="DH60" s="98"/>
      <c r="DI60" s="98"/>
      <c r="DJ60" s="98"/>
      <c r="DK60" s="20"/>
      <c r="DL60" s="20"/>
      <c r="DM60" s="20"/>
      <c r="DN60" s="20"/>
      <c r="DO60" s="20"/>
      <c r="DP60" s="20"/>
      <c r="DQ60" s="20"/>
      <c r="DR60" s="20"/>
      <c r="DS60" s="40"/>
      <c r="DT60" s="40"/>
      <c r="DU60" s="40"/>
    </row>
    <row r="61" spans="1:125" ht="3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1"/>
      <c r="BK61" s="20"/>
      <c r="BL61" s="20"/>
      <c r="BM61" s="20"/>
      <c r="BN61" s="20"/>
      <c r="BO61" s="99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20"/>
      <c r="DL61" s="20"/>
      <c r="DM61" s="20"/>
      <c r="DN61" s="20"/>
      <c r="DO61" s="20"/>
      <c r="DP61" s="20"/>
      <c r="DQ61" s="20"/>
      <c r="DR61" s="20"/>
      <c r="DS61" s="40"/>
      <c r="DT61" s="40"/>
      <c r="DU61" s="40"/>
    </row>
    <row r="62" spans="1:125" ht="17.25" customHeight="1" x14ac:dyDescent="0.3">
      <c r="A62" s="2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21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40"/>
      <c r="DT62" s="40"/>
      <c r="DU62" s="40"/>
    </row>
    <row r="63" spans="1:125" ht="3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1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40"/>
      <c r="DT63" s="40"/>
      <c r="DU63" s="40"/>
    </row>
    <row r="64" spans="1:125" ht="17.25" customHeight="1" x14ac:dyDescent="0.3">
      <c r="A64" s="2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21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40"/>
      <c r="DT64" s="40"/>
      <c r="DU64" s="40"/>
    </row>
    <row r="65" spans="1:125" ht="3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1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40"/>
      <c r="DT65" s="40"/>
      <c r="DU65" s="40"/>
    </row>
    <row r="66" spans="1:125" ht="17.25" customHeight="1" x14ac:dyDescent="0.3">
      <c r="A66" s="2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21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40"/>
      <c r="DT66" s="40"/>
      <c r="DU66" s="40"/>
    </row>
    <row r="67" spans="1:125" ht="3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1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40"/>
      <c r="DT67" s="40"/>
      <c r="DU67" s="40"/>
    </row>
    <row r="68" spans="1:125" ht="17.25" customHeight="1" x14ac:dyDescent="0.3">
      <c r="A68" s="2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21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40"/>
      <c r="DT68" s="40"/>
      <c r="DU68" s="40"/>
    </row>
    <row r="69" spans="1:125" ht="15.75" customHeight="1" x14ac:dyDescent="0.3">
      <c r="A69" s="20"/>
      <c r="B69" s="104" t="s">
        <v>24</v>
      </c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21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40"/>
      <c r="DT69" s="40"/>
      <c r="DU69" s="40"/>
    </row>
    <row r="70" spans="1:125" s="2" customFormat="1" ht="6" customHeight="1" x14ac:dyDescent="0.3">
      <c r="A70" s="28"/>
      <c r="B70" s="110" t="s">
        <v>25</v>
      </c>
      <c r="C70" s="110"/>
      <c r="D70" s="110"/>
      <c r="E70" s="110"/>
      <c r="F70" s="110"/>
      <c r="G70" s="110"/>
      <c r="H70" s="110"/>
      <c r="I70" s="110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7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43"/>
      <c r="DT70" s="43"/>
      <c r="DU70" s="43"/>
    </row>
    <row r="71" spans="1:125" s="2" customFormat="1" ht="12" customHeight="1" x14ac:dyDescent="0.3">
      <c r="A71" s="28"/>
      <c r="B71" s="110"/>
      <c r="C71" s="110"/>
      <c r="D71" s="110"/>
      <c r="E71" s="110"/>
      <c r="F71" s="110"/>
      <c r="G71" s="110"/>
      <c r="H71" s="110"/>
      <c r="I71" s="110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8" t="s">
        <v>26</v>
      </c>
      <c r="AA71" s="108"/>
      <c r="AB71" s="108"/>
      <c r="AC71" s="108"/>
      <c r="AD71" s="108"/>
      <c r="AE71" s="109"/>
      <c r="AF71" s="89"/>
      <c r="AG71" s="90"/>
      <c r="AH71" s="91"/>
      <c r="AI71" s="89"/>
      <c r="AJ71" s="90"/>
      <c r="AK71" s="91"/>
      <c r="AL71" s="105" t="s">
        <v>6</v>
      </c>
      <c r="AM71" s="106"/>
      <c r="AN71" s="107"/>
      <c r="AO71" s="89"/>
      <c r="AP71" s="90"/>
      <c r="AQ71" s="91"/>
      <c r="AR71" s="89"/>
      <c r="AS71" s="90"/>
      <c r="AT71" s="91"/>
      <c r="AU71" s="105" t="s">
        <v>6</v>
      </c>
      <c r="AV71" s="106"/>
      <c r="AW71" s="107"/>
      <c r="AX71" s="89"/>
      <c r="AY71" s="90"/>
      <c r="AZ71" s="91"/>
      <c r="BA71" s="89"/>
      <c r="BB71" s="90"/>
      <c r="BC71" s="91"/>
      <c r="BD71" s="89"/>
      <c r="BE71" s="90"/>
      <c r="BF71" s="91"/>
      <c r="BG71" s="89"/>
      <c r="BH71" s="90"/>
      <c r="BI71" s="91"/>
      <c r="BJ71" s="27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43"/>
      <c r="DT71" s="43"/>
      <c r="DU71" s="43"/>
    </row>
    <row r="72" spans="1:125" s="2" customFormat="1" ht="5.25" customHeight="1" x14ac:dyDescent="0.3">
      <c r="A72" s="28"/>
      <c r="B72" s="110"/>
      <c r="C72" s="110"/>
      <c r="D72" s="110"/>
      <c r="E72" s="110"/>
      <c r="F72" s="110"/>
      <c r="G72" s="110"/>
      <c r="H72" s="110"/>
      <c r="I72" s="110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9"/>
      <c r="Z72" s="108"/>
      <c r="AA72" s="108"/>
      <c r="AB72" s="108"/>
      <c r="AC72" s="108"/>
      <c r="AD72" s="108"/>
      <c r="AE72" s="109"/>
      <c r="AF72" s="92"/>
      <c r="AG72" s="93"/>
      <c r="AH72" s="94"/>
      <c r="AI72" s="92"/>
      <c r="AJ72" s="93"/>
      <c r="AK72" s="94"/>
      <c r="AL72" s="105"/>
      <c r="AM72" s="106"/>
      <c r="AN72" s="107"/>
      <c r="AO72" s="92"/>
      <c r="AP72" s="93"/>
      <c r="AQ72" s="94"/>
      <c r="AR72" s="92"/>
      <c r="AS72" s="93"/>
      <c r="AT72" s="94"/>
      <c r="AU72" s="105"/>
      <c r="AV72" s="106"/>
      <c r="AW72" s="107"/>
      <c r="AX72" s="92"/>
      <c r="AY72" s="93"/>
      <c r="AZ72" s="94"/>
      <c r="BA72" s="92"/>
      <c r="BB72" s="93"/>
      <c r="BC72" s="94"/>
      <c r="BD72" s="92"/>
      <c r="BE72" s="93"/>
      <c r="BF72" s="94"/>
      <c r="BG72" s="92"/>
      <c r="BH72" s="93"/>
      <c r="BI72" s="94"/>
      <c r="BJ72" s="27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43"/>
      <c r="DT72" s="43"/>
      <c r="DU72" s="43"/>
    </row>
    <row r="73" spans="1:125" x14ac:dyDescent="0.3">
      <c r="A73" s="20"/>
      <c r="B73" s="20"/>
      <c r="C73" s="20"/>
      <c r="D73" s="20"/>
      <c r="E73" s="20"/>
      <c r="F73" s="20"/>
      <c r="G73" s="20"/>
      <c r="H73" s="20"/>
      <c r="I73" s="20"/>
      <c r="J73" s="30"/>
      <c r="K73" s="30"/>
      <c r="L73" s="62"/>
      <c r="M73" s="63"/>
      <c r="N73" s="64"/>
      <c r="O73" s="65"/>
      <c r="P73" s="65"/>
      <c r="Q73" s="62"/>
      <c r="R73" s="62"/>
      <c r="S73" s="62"/>
      <c r="T73" s="62"/>
      <c r="U73" s="30"/>
      <c r="V73" s="30"/>
      <c r="W73" s="30"/>
      <c r="X73" s="30"/>
      <c r="Y73" s="3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1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40"/>
      <c r="DT73" s="40"/>
      <c r="DU73" s="40"/>
    </row>
    <row r="74" spans="1:125" ht="17.25" customHeight="1" x14ac:dyDescent="0.3">
      <c r="A74" s="20"/>
      <c r="B74" s="96" t="s">
        <v>27</v>
      </c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  <c r="AH74" s="96"/>
      <c r="AI74" s="96"/>
      <c r="AJ74" s="96"/>
      <c r="AK74" s="96"/>
      <c r="AL74" s="96"/>
      <c r="AM74" s="96"/>
      <c r="AN74" s="96"/>
      <c r="AO74" s="96"/>
      <c r="AP74" s="96"/>
      <c r="AQ74" s="96"/>
      <c r="AR74" s="96"/>
      <c r="AS74" s="96"/>
      <c r="AT74" s="96"/>
      <c r="AU74" s="96"/>
      <c r="AV74" s="96"/>
      <c r="AW74" s="96"/>
      <c r="AX74" s="96"/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21"/>
      <c r="BK74" s="20"/>
      <c r="BL74" s="20"/>
      <c r="BM74" s="20"/>
      <c r="BN74" s="20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102"/>
      <c r="CT74" s="102"/>
      <c r="CU74" s="102"/>
      <c r="CV74" s="102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20"/>
      <c r="DL74" s="20"/>
      <c r="DM74" s="20"/>
      <c r="DN74" s="20"/>
      <c r="DO74" s="20"/>
      <c r="DP74" s="20"/>
      <c r="DQ74" s="20"/>
      <c r="DR74" s="20"/>
      <c r="DS74" s="40"/>
      <c r="DT74" s="40"/>
      <c r="DU74" s="40"/>
    </row>
    <row r="75" spans="1:125" x14ac:dyDescent="0.3">
      <c r="A75" s="20"/>
      <c r="B75" s="96" t="s">
        <v>28</v>
      </c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  <c r="AP75" s="96"/>
      <c r="AQ75" s="96"/>
      <c r="AR75" s="96"/>
      <c r="AS75" s="96"/>
      <c r="AT75" s="96"/>
      <c r="AU75" s="96"/>
      <c r="AV75" s="96"/>
      <c r="AW75" s="96"/>
      <c r="AX75" s="96"/>
      <c r="AY75" s="96"/>
      <c r="AZ75" s="96"/>
      <c r="BA75" s="96"/>
      <c r="BB75" s="96"/>
      <c r="BC75" s="96"/>
      <c r="BD75" s="96"/>
      <c r="BE75" s="96"/>
      <c r="BF75" s="96"/>
      <c r="BG75" s="96"/>
      <c r="BH75" s="96"/>
      <c r="BI75" s="96"/>
      <c r="BJ75" s="21"/>
      <c r="BK75" s="20"/>
      <c r="BL75" s="20"/>
      <c r="BM75" s="20"/>
      <c r="BN75" s="20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102"/>
      <c r="CT75" s="102"/>
      <c r="CU75" s="102"/>
      <c r="CV75" s="102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20"/>
      <c r="DL75" s="20"/>
      <c r="DM75" s="20"/>
      <c r="DN75" s="20"/>
      <c r="DO75" s="20"/>
      <c r="DP75" s="20"/>
      <c r="DQ75" s="20"/>
      <c r="DR75" s="20"/>
      <c r="DS75" s="40"/>
      <c r="DT75" s="40"/>
      <c r="DU75" s="40"/>
    </row>
    <row r="76" spans="1:125" ht="17.25" customHeight="1" x14ac:dyDescent="0.3">
      <c r="A76" s="2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21"/>
      <c r="BK76" s="20"/>
      <c r="BL76" s="20"/>
      <c r="BM76" s="20"/>
      <c r="BN76" s="20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20"/>
      <c r="DL76" s="20"/>
      <c r="DM76" s="20"/>
      <c r="DN76" s="20"/>
      <c r="DO76" s="20"/>
      <c r="DP76" s="20"/>
      <c r="DQ76" s="20"/>
      <c r="DR76" s="20"/>
      <c r="DS76" s="40"/>
      <c r="DT76" s="40"/>
      <c r="DU76" s="40"/>
    </row>
    <row r="77" spans="1:125" ht="3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1"/>
      <c r="BK77" s="20"/>
      <c r="BL77" s="20"/>
      <c r="BM77" s="20"/>
      <c r="BN77" s="20"/>
      <c r="BO77" s="98" t="s">
        <v>63</v>
      </c>
      <c r="BP77" s="98"/>
      <c r="BQ77" s="98"/>
      <c r="BR77" s="98"/>
      <c r="BS77" s="98"/>
      <c r="BT77" s="98"/>
      <c r="BU77" s="98"/>
      <c r="BV77" s="98"/>
      <c r="BW77" s="98"/>
      <c r="BX77" s="98"/>
      <c r="BY77" s="98"/>
      <c r="BZ77" s="98"/>
      <c r="CA77" s="98"/>
      <c r="CB77" s="98"/>
      <c r="CC77" s="98"/>
      <c r="CD77" s="98"/>
      <c r="CE77" s="98"/>
      <c r="CF77" s="98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98" t="s">
        <v>25</v>
      </c>
      <c r="CT77" s="98"/>
      <c r="CU77" s="98"/>
      <c r="CV77" s="98"/>
      <c r="CW77" s="98"/>
      <c r="CX77" s="98"/>
      <c r="CY77" s="98"/>
      <c r="CZ77" s="98"/>
      <c r="DA77" s="98"/>
      <c r="DB77" s="98"/>
      <c r="DC77" s="98"/>
      <c r="DD77" s="98"/>
      <c r="DE77" s="98"/>
      <c r="DF77" s="98"/>
      <c r="DG77" s="98"/>
      <c r="DH77" s="98"/>
      <c r="DI77" s="98"/>
      <c r="DJ77" s="98"/>
      <c r="DK77" s="20"/>
      <c r="DL77" s="20"/>
      <c r="DM77" s="20"/>
      <c r="DN77" s="20"/>
      <c r="DO77" s="20"/>
      <c r="DP77" s="20"/>
      <c r="DQ77" s="20"/>
      <c r="DR77" s="20"/>
      <c r="DS77" s="40"/>
      <c r="DT77" s="40"/>
      <c r="DU77" s="40"/>
    </row>
    <row r="78" spans="1:125" ht="17.25" customHeight="1" x14ac:dyDescent="0.3">
      <c r="A78" s="2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21"/>
      <c r="BK78" s="20"/>
      <c r="BL78" s="20"/>
      <c r="BM78" s="20"/>
      <c r="BN78" s="20"/>
      <c r="BO78" s="99"/>
      <c r="BP78" s="99"/>
      <c r="BQ78" s="99"/>
      <c r="BR78" s="99"/>
      <c r="BS78" s="99"/>
      <c r="BT78" s="99"/>
      <c r="BU78" s="99"/>
      <c r="BV78" s="99"/>
      <c r="BW78" s="99"/>
      <c r="BX78" s="99"/>
      <c r="BY78" s="99"/>
      <c r="BZ78" s="99"/>
      <c r="CA78" s="99"/>
      <c r="CB78" s="99"/>
      <c r="CC78" s="99"/>
      <c r="CD78" s="99"/>
      <c r="CE78" s="99"/>
      <c r="CF78" s="99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99"/>
      <c r="CT78" s="99"/>
      <c r="CU78" s="99"/>
      <c r="CV78" s="99"/>
      <c r="CW78" s="99"/>
      <c r="CX78" s="99"/>
      <c r="CY78" s="99"/>
      <c r="CZ78" s="99"/>
      <c r="DA78" s="99"/>
      <c r="DB78" s="99"/>
      <c r="DC78" s="99"/>
      <c r="DD78" s="99"/>
      <c r="DE78" s="99"/>
      <c r="DF78" s="99"/>
      <c r="DG78" s="99"/>
      <c r="DH78" s="99"/>
      <c r="DI78" s="99"/>
      <c r="DJ78" s="99"/>
      <c r="DK78" s="20"/>
      <c r="DL78" s="20"/>
      <c r="DM78" s="20"/>
      <c r="DN78" s="20"/>
      <c r="DO78" s="20"/>
      <c r="DP78" s="20"/>
      <c r="DQ78" s="20"/>
      <c r="DR78" s="20"/>
      <c r="DS78" s="40"/>
      <c r="DT78" s="40"/>
      <c r="DU78" s="40"/>
    </row>
    <row r="79" spans="1:125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1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40"/>
      <c r="DT79" s="40"/>
      <c r="DU79" s="40"/>
    </row>
    <row r="80" spans="1:125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40"/>
      <c r="DT80" s="40"/>
      <c r="DU80" s="40"/>
    </row>
    <row r="81" spans="1:125" x14ac:dyDescent="0.3">
      <c r="A81" s="20"/>
      <c r="B81" s="20"/>
      <c r="C81" s="20"/>
      <c r="D81" s="20"/>
      <c r="E81" s="5"/>
      <c r="F81" s="5" t="s">
        <v>62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40"/>
      <c r="DT81" s="40"/>
      <c r="DU81" s="40"/>
    </row>
    <row r="82" spans="1:125" ht="14.2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44"/>
      <c r="DN82" s="44"/>
      <c r="DO82" s="44"/>
      <c r="DP82" s="44"/>
      <c r="DQ82" s="20"/>
      <c r="DR82" s="20"/>
      <c r="DS82" s="40"/>
      <c r="DT82" s="40"/>
      <c r="DU82" s="40"/>
    </row>
    <row r="83" spans="1:125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</row>
    <row r="84" spans="1:125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</row>
    <row r="85" spans="1:125" x14ac:dyDescent="0.3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</row>
  </sheetData>
  <mergeCells count="603">
    <mergeCell ref="B2:D2"/>
    <mergeCell ref="BO74:CF76"/>
    <mergeCell ref="CS74:DJ76"/>
    <mergeCell ref="BO77:CF78"/>
    <mergeCell ref="AD2:AK2"/>
    <mergeCell ref="K17:M17"/>
    <mergeCell ref="A1:D1"/>
    <mergeCell ref="Z1:AC1"/>
    <mergeCell ref="AY15:BA15"/>
    <mergeCell ref="BB15:BD15"/>
    <mergeCell ref="Z2:AB2"/>
    <mergeCell ref="AC17:AE17"/>
    <mergeCell ref="AF17:AH17"/>
    <mergeCell ref="AI17:AK17"/>
    <mergeCell ref="AL17:AN17"/>
    <mergeCell ref="W17:Y17"/>
    <mergeCell ref="Z19:AB19"/>
    <mergeCell ref="AC19:AE19"/>
    <mergeCell ref="AF19:AH19"/>
    <mergeCell ref="B17:D17"/>
    <mergeCell ref="CM26:CO26"/>
    <mergeCell ref="BA17:BC17"/>
    <mergeCell ref="BD17:BF17"/>
    <mergeCell ref="BG17:BI17"/>
    <mergeCell ref="BJ17:BL17"/>
    <mergeCell ref="CB17:CD17"/>
    <mergeCell ref="CE17:CG17"/>
    <mergeCell ref="CE1:DR5"/>
    <mergeCell ref="CS77:DJ78"/>
    <mergeCell ref="BE15:BG15"/>
    <mergeCell ref="BH15:BJ15"/>
    <mergeCell ref="CJ26:CL26"/>
    <mergeCell ref="AO17:AQ17"/>
    <mergeCell ref="AR17:AT17"/>
    <mergeCell ref="AU17:AW17"/>
    <mergeCell ref="AX17:AZ17"/>
    <mergeCell ref="BM17:BO17"/>
    <mergeCell ref="BG19:BI19"/>
    <mergeCell ref="BJ19:BL19"/>
    <mergeCell ref="BY19:CA19"/>
    <mergeCell ref="CW19:CY19"/>
    <mergeCell ref="CZ19:DB19"/>
    <mergeCell ref="BY21:CA21"/>
    <mergeCell ref="CB21:CD21"/>
    <mergeCell ref="CQ17:CS17"/>
    <mergeCell ref="CT17:CV17"/>
    <mergeCell ref="BY17:CA17"/>
    <mergeCell ref="BA23:BC23"/>
    <mergeCell ref="E17:G17"/>
    <mergeCell ref="H17:J17"/>
    <mergeCell ref="N17:P17"/>
    <mergeCell ref="Q17:S17"/>
    <mergeCell ref="T17:V17"/>
    <mergeCell ref="CN21:CP21"/>
    <mergeCell ref="CH17:CJ17"/>
    <mergeCell ref="Z17:AB17"/>
    <mergeCell ref="B21:D21"/>
    <mergeCell ref="E21:G21"/>
    <mergeCell ref="H21:J21"/>
    <mergeCell ref="K21:M21"/>
    <mergeCell ref="T21:V21"/>
    <mergeCell ref="W21:Y21"/>
    <mergeCell ref="Z21:AB21"/>
    <mergeCell ref="BA19:BC19"/>
    <mergeCell ref="BD19:BF19"/>
    <mergeCell ref="B19:D19"/>
    <mergeCell ref="E19:G19"/>
    <mergeCell ref="H19:J19"/>
    <mergeCell ref="K19:M19"/>
    <mergeCell ref="N19:P19"/>
    <mergeCell ref="Q19:S19"/>
    <mergeCell ref="T19:V19"/>
    <mergeCell ref="W19:Y19"/>
    <mergeCell ref="AI19:AK19"/>
    <mergeCell ref="AL19:AN19"/>
    <mergeCell ref="AO19:AQ19"/>
    <mergeCell ref="AR19:AT19"/>
    <mergeCell ref="AU19:AW19"/>
    <mergeCell ref="AX19:AZ19"/>
    <mergeCell ref="AL23:AN23"/>
    <mergeCell ref="AO23:AQ23"/>
    <mergeCell ref="AR23:AT23"/>
    <mergeCell ref="AU23:AW23"/>
    <mergeCell ref="N21:P21"/>
    <mergeCell ref="Q21:S21"/>
    <mergeCell ref="CH21:CJ21"/>
    <mergeCell ref="BP21:BR21"/>
    <mergeCell ref="AC21:AE21"/>
    <mergeCell ref="AF21:AH21"/>
    <mergeCell ref="AI21:AK21"/>
    <mergeCell ref="AL21:AN21"/>
    <mergeCell ref="AO21:AQ21"/>
    <mergeCell ref="AR21:AT21"/>
    <mergeCell ref="BG23:BI23"/>
    <mergeCell ref="AX23:AZ23"/>
    <mergeCell ref="AU21:AW21"/>
    <mergeCell ref="BS21:BU21"/>
    <mergeCell ref="AX21:AZ21"/>
    <mergeCell ref="BA21:BC21"/>
    <mergeCell ref="BD21:BF21"/>
    <mergeCell ref="BM23:BO23"/>
    <mergeCell ref="BV23:BX23"/>
    <mergeCell ref="BV21:BX21"/>
    <mergeCell ref="B23:D23"/>
    <mergeCell ref="E23:G23"/>
    <mergeCell ref="H23:J23"/>
    <mergeCell ref="K23:M23"/>
    <mergeCell ref="AI23:AK23"/>
    <mergeCell ref="Z23:AB23"/>
    <mergeCell ref="AC23:AE23"/>
    <mergeCell ref="AF23:AH23"/>
    <mergeCell ref="N23:P23"/>
    <mergeCell ref="Q23:S23"/>
    <mergeCell ref="T23:V23"/>
    <mergeCell ref="W23:Y23"/>
    <mergeCell ref="CJ8:DQ8"/>
    <mergeCell ref="BG21:BI21"/>
    <mergeCell ref="BJ21:BL21"/>
    <mergeCell ref="BM21:BO21"/>
    <mergeCell ref="BM5:BR5"/>
    <mergeCell ref="BV13:BX13"/>
    <mergeCell ref="BJ5:BL5"/>
    <mergeCell ref="BS5:BU5"/>
    <mergeCell ref="BP19:BR19"/>
    <mergeCell ref="DC17:DE17"/>
    <mergeCell ref="BM19:BO19"/>
    <mergeCell ref="DC21:DE21"/>
    <mergeCell ref="CE21:CG21"/>
    <mergeCell ref="CQ21:CS21"/>
    <mergeCell ref="CT21:CV21"/>
    <mergeCell ref="CW21:CY21"/>
    <mergeCell ref="CT19:CV19"/>
    <mergeCell ref="BS19:BU19"/>
    <mergeCell ref="BS17:BU17"/>
    <mergeCell ref="BV17:BX17"/>
    <mergeCell ref="BP17:BR17"/>
    <mergeCell ref="BV19:BX19"/>
    <mergeCell ref="DC19:DE19"/>
    <mergeCell ref="CE19:CG19"/>
    <mergeCell ref="BY5:CA5"/>
    <mergeCell ref="AX5:AZ5"/>
    <mergeCell ref="AR5:AT5"/>
    <mergeCell ref="AO2:AQ3"/>
    <mergeCell ref="AL2:AN3"/>
    <mergeCell ref="BA5:BC5"/>
    <mergeCell ref="BD5:BF5"/>
    <mergeCell ref="BM2:BO3"/>
    <mergeCell ref="BP2:BR3"/>
    <mergeCell ref="BA2:BC3"/>
    <mergeCell ref="BD2:BF3"/>
    <mergeCell ref="BG2:BI3"/>
    <mergeCell ref="BJ2:BL3"/>
    <mergeCell ref="BS2:BU3"/>
    <mergeCell ref="CH19:CJ19"/>
    <mergeCell ref="DF17:DH17"/>
    <mergeCell ref="CZ17:DB17"/>
    <mergeCell ref="BD23:BF23"/>
    <mergeCell ref="AX2:AZ3"/>
    <mergeCell ref="AD5:AK5"/>
    <mergeCell ref="AB13:AD13"/>
    <mergeCell ref="AE13:AG13"/>
    <mergeCell ref="AR2:AT3"/>
    <mergeCell ref="AU2:AW3"/>
    <mergeCell ref="B10:DQ10"/>
    <mergeCell ref="DL21:DN21"/>
    <mergeCell ref="AL5:AN5"/>
    <mergeCell ref="AO5:AQ5"/>
    <mergeCell ref="Y13:AA13"/>
    <mergeCell ref="BY13:CA13"/>
    <mergeCell ref="DE13:DG13"/>
    <mergeCell ref="DH13:DJ13"/>
    <mergeCell ref="B11:DQ11"/>
    <mergeCell ref="BV5:BX5"/>
    <mergeCell ref="AU5:AW5"/>
    <mergeCell ref="BG5:BI5"/>
    <mergeCell ref="CH23:CJ23"/>
    <mergeCell ref="CT23:CV23"/>
    <mergeCell ref="DO17:DQ17"/>
    <mergeCell ref="DO19:DQ19"/>
    <mergeCell ref="DI19:DK19"/>
    <mergeCell ref="DL19:DN19"/>
    <mergeCell ref="DI21:DK21"/>
    <mergeCell ref="BY23:CA23"/>
    <mergeCell ref="CB23:CD23"/>
    <mergeCell ref="CK23:CM23"/>
    <mergeCell ref="DF21:DH21"/>
    <mergeCell ref="CZ21:DB21"/>
    <mergeCell ref="CB19:CD19"/>
    <mergeCell ref="DF23:DH23"/>
    <mergeCell ref="CW23:CY23"/>
    <mergeCell ref="CZ23:DB23"/>
    <mergeCell ref="DC23:DE23"/>
    <mergeCell ref="CK21:CM21"/>
    <mergeCell ref="CN23:CP23"/>
    <mergeCell ref="CK17:CM17"/>
    <mergeCell ref="CN17:CP17"/>
    <mergeCell ref="CW17:CY17"/>
    <mergeCell ref="CK19:CM19"/>
    <mergeCell ref="CN19:CP19"/>
    <mergeCell ref="CQ19:CS19"/>
    <mergeCell ref="CE23:CG23"/>
    <mergeCell ref="B24:DQ24"/>
    <mergeCell ref="CF26:CH26"/>
    <mergeCell ref="B26:BN26"/>
    <mergeCell ref="BZ26:CB26"/>
    <mergeCell ref="CC26:CE26"/>
    <mergeCell ref="DL28:DN29"/>
    <mergeCell ref="DI28:DK29"/>
    <mergeCell ref="CN28:CP29"/>
    <mergeCell ref="CH28:CJ29"/>
    <mergeCell ref="CK28:CM29"/>
    <mergeCell ref="DO28:DQ29"/>
    <mergeCell ref="CZ28:DB29"/>
    <mergeCell ref="DC28:DE29"/>
    <mergeCell ref="DF28:DH29"/>
    <mergeCell ref="CE28:CG29"/>
    <mergeCell ref="BM28:BO29"/>
    <mergeCell ref="CQ28:CS29"/>
    <mergeCell ref="CW28:CY29"/>
    <mergeCell ref="BP28:BR29"/>
    <mergeCell ref="BS28:BU29"/>
    <mergeCell ref="BV28:BX29"/>
    <mergeCell ref="BY28:CA29"/>
    <mergeCell ref="DN13:DP13"/>
    <mergeCell ref="DK13:DM13"/>
    <mergeCell ref="DI17:DK17"/>
    <mergeCell ref="AN31:AP31"/>
    <mergeCell ref="AQ31:AS31"/>
    <mergeCell ref="AT31:AV31"/>
    <mergeCell ref="AW31:AY31"/>
    <mergeCell ref="BP23:BR23"/>
    <mergeCell ref="BS23:BU23"/>
    <mergeCell ref="BJ23:BL23"/>
    <mergeCell ref="DG15:DI15"/>
    <mergeCell ref="DJ15:DL15"/>
    <mergeCell ref="DM15:DO15"/>
    <mergeCell ref="DO21:DQ21"/>
    <mergeCell ref="DF19:DH19"/>
    <mergeCell ref="DI23:DK23"/>
    <mergeCell ref="DL23:DN23"/>
    <mergeCell ref="DO23:DQ23"/>
    <mergeCell ref="DL17:DN17"/>
    <mergeCell ref="CQ23:CS23"/>
    <mergeCell ref="BJ28:BL29"/>
    <mergeCell ref="BQ26:BS26"/>
    <mergeCell ref="BT26:BV26"/>
    <mergeCell ref="BW26:BY26"/>
    <mergeCell ref="F33:H33"/>
    <mergeCell ref="I33:K33"/>
    <mergeCell ref="L33:N33"/>
    <mergeCell ref="CZ33:DB33"/>
    <mergeCell ref="Z42:AB42"/>
    <mergeCell ref="AC42:AE42"/>
    <mergeCell ref="AF42:AH42"/>
    <mergeCell ref="AI42:AK42"/>
    <mergeCell ref="BL31:BN31"/>
    <mergeCell ref="BO31:BQ31"/>
    <mergeCell ref="BX31:BZ31"/>
    <mergeCell ref="BU31:BW31"/>
    <mergeCell ref="BR31:BT31"/>
    <mergeCell ref="AX42:AZ42"/>
    <mergeCell ref="BA42:BC42"/>
    <mergeCell ref="BD42:BF42"/>
    <mergeCell ref="BG42:BI42"/>
    <mergeCell ref="B35:BJ35"/>
    <mergeCell ref="B36:BJ36"/>
    <mergeCell ref="B42:D42"/>
    <mergeCell ref="E42:G42"/>
    <mergeCell ref="H42:J42"/>
    <mergeCell ref="K42:M42"/>
    <mergeCell ref="N42:P42"/>
    <mergeCell ref="DL38:DN39"/>
    <mergeCell ref="DF45:DQ47"/>
    <mergeCell ref="BK44:CL48"/>
    <mergeCell ref="AR44:AT45"/>
    <mergeCell ref="AU44:AW45"/>
    <mergeCell ref="BD44:BF45"/>
    <mergeCell ref="BA47:BC48"/>
    <mergeCell ref="DI38:DK39"/>
    <mergeCell ref="DC33:DE33"/>
    <mergeCell ref="DF33:DH33"/>
    <mergeCell ref="BK35:DQ35"/>
    <mergeCell ref="BK36:DQ36"/>
    <mergeCell ref="BY42:CA42"/>
    <mergeCell ref="AR42:AT42"/>
    <mergeCell ref="AU42:AW42"/>
    <mergeCell ref="N39:P40"/>
    <mergeCell ref="BL38:DG39"/>
    <mergeCell ref="R38:BI41"/>
    <mergeCell ref="CB42:CD42"/>
    <mergeCell ref="CE42:CG42"/>
    <mergeCell ref="AF44:AH45"/>
    <mergeCell ref="AI44:AK45"/>
    <mergeCell ref="AX44:AZ45"/>
    <mergeCell ref="BA44:BC45"/>
    <mergeCell ref="AL44:AN45"/>
    <mergeCell ref="AO44:AQ45"/>
    <mergeCell ref="Q42:S42"/>
    <mergeCell ref="T42:V42"/>
    <mergeCell ref="W42:Y42"/>
    <mergeCell ref="AL42:AN42"/>
    <mergeCell ref="AO42:AQ42"/>
    <mergeCell ref="B47:D48"/>
    <mergeCell ref="E47:G48"/>
    <mergeCell ref="H47:J48"/>
    <mergeCell ref="K47:M48"/>
    <mergeCell ref="Z44:AB45"/>
    <mergeCell ref="AC44:AE45"/>
    <mergeCell ref="N47:P48"/>
    <mergeCell ref="Q47:S48"/>
    <mergeCell ref="T47:V48"/>
    <mergeCell ref="W47:Y48"/>
    <mergeCell ref="Z47:AB48"/>
    <mergeCell ref="AC47:AE48"/>
    <mergeCell ref="N44:P45"/>
    <mergeCell ref="Q44:S45"/>
    <mergeCell ref="T44:V45"/>
    <mergeCell ref="W44:Y45"/>
    <mergeCell ref="B44:D45"/>
    <mergeCell ref="E44:G45"/>
    <mergeCell ref="H44:J45"/>
    <mergeCell ref="K44:M45"/>
    <mergeCell ref="BA51:BC52"/>
    <mergeCell ref="BG54:BI55"/>
    <mergeCell ref="AF47:AH48"/>
    <mergeCell ref="AI47:AK48"/>
    <mergeCell ref="AL47:AN48"/>
    <mergeCell ref="AO47:AQ48"/>
    <mergeCell ref="AR47:AT48"/>
    <mergeCell ref="AU47:AW48"/>
    <mergeCell ref="BD47:BF48"/>
    <mergeCell ref="AX47:AZ48"/>
    <mergeCell ref="BD51:BF52"/>
    <mergeCell ref="BG51:BI52"/>
    <mergeCell ref="BD54:BF55"/>
    <mergeCell ref="BG47:BI48"/>
    <mergeCell ref="BA54:BC55"/>
    <mergeCell ref="H51:J52"/>
    <mergeCell ref="K51:M52"/>
    <mergeCell ref="N51:P52"/>
    <mergeCell ref="AX51:AZ52"/>
    <mergeCell ref="Q51:S52"/>
    <mergeCell ref="AI51:AK52"/>
    <mergeCell ref="AL51:AN52"/>
    <mergeCell ref="AU51:AW52"/>
    <mergeCell ref="Z51:AB52"/>
    <mergeCell ref="AF51:AH52"/>
    <mergeCell ref="W51:Y52"/>
    <mergeCell ref="AC51:AE52"/>
    <mergeCell ref="AO51:AQ52"/>
    <mergeCell ref="AR51:AT52"/>
    <mergeCell ref="DC50:DE51"/>
    <mergeCell ref="CR45:CT47"/>
    <mergeCell ref="CU45:CW47"/>
    <mergeCell ref="CX45:CZ47"/>
    <mergeCell ref="CZ50:DB51"/>
    <mergeCell ref="BG44:BI45"/>
    <mergeCell ref="CT50:CV51"/>
    <mergeCell ref="CW50:CY51"/>
    <mergeCell ref="DO53:DQ54"/>
    <mergeCell ref="CT53:CV54"/>
    <mergeCell ref="CW53:CY54"/>
    <mergeCell ref="CZ53:DB54"/>
    <mergeCell ref="DC53:DE54"/>
    <mergeCell ref="DI50:DK51"/>
    <mergeCell ref="DO50:DQ51"/>
    <mergeCell ref="DF50:DH51"/>
    <mergeCell ref="CH53:CJ54"/>
    <mergeCell ref="B49:BI50"/>
    <mergeCell ref="CQ50:CS51"/>
    <mergeCell ref="CN50:CP51"/>
    <mergeCell ref="B51:D52"/>
    <mergeCell ref="E51:G52"/>
    <mergeCell ref="BL49:CK51"/>
    <mergeCell ref="T51:V52"/>
    <mergeCell ref="B57:D57"/>
    <mergeCell ref="E57:G57"/>
    <mergeCell ref="H57:J57"/>
    <mergeCell ref="K57:M57"/>
    <mergeCell ref="N57:P57"/>
    <mergeCell ref="Z54:AB55"/>
    <mergeCell ref="AC54:AE55"/>
    <mergeCell ref="N54:P55"/>
    <mergeCell ref="Q54:S55"/>
    <mergeCell ref="T54:V55"/>
    <mergeCell ref="W54:Y55"/>
    <mergeCell ref="B54:D55"/>
    <mergeCell ref="E54:G55"/>
    <mergeCell ref="H54:J55"/>
    <mergeCell ref="K54:M55"/>
    <mergeCell ref="Q57:S57"/>
    <mergeCell ref="T57:V57"/>
    <mergeCell ref="W57:Y57"/>
    <mergeCell ref="Z57:AB57"/>
    <mergeCell ref="AC57:AE57"/>
    <mergeCell ref="B62:D62"/>
    <mergeCell ref="B68:D68"/>
    <mergeCell ref="E62:G62"/>
    <mergeCell ref="H62:J62"/>
    <mergeCell ref="K62:M62"/>
    <mergeCell ref="N62:P62"/>
    <mergeCell ref="AO71:AQ72"/>
    <mergeCell ref="AC62:AE62"/>
    <mergeCell ref="Q66:S66"/>
    <mergeCell ref="T66:V66"/>
    <mergeCell ref="W66:Y66"/>
    <mergeCell ref="Q62:S62"/>
    <mergeCell ref="J70:Y71"/>
    <mergeCell ref="B64:D64"/>
    <mergeCell ref="K68:M68"/>
    <mergeCell ref="AF71:AH72"/>
    <mergeCell ref="AI71:AK72"/>
    <mergeCell ref="AC64:AE64"/>
    <mergeCell ref="Z64:AB64"/>
    <mergeCell ref="AI68:AK68"/>
    <mergeCell ref="AI64:AK64"/>
    <mergeCell ref="T68:V68"/>
    <mergeCell ref="B70:I72"/>
    <mergeCell ref="B66:D66"/>
    <mergeCell ref="AL71:AN72"/>
    <mergeCell ref="Z71:AE72"/>
    <mergeCell ref="BG62:BI62"/>
    <mergeCell ref="AL62:AN62"/>
    <mergeCell ref="AO64:AQ64"/>
    <mergeCell ref="AF62:AH62"/>
    <mergeCell ref="AI62:AK62"/>
    <mergeCell ref="AO62:AQ62"/>
    <mergeCell ref="AR62:AT62"/>
    <mergeCell ref="AF64:AH64"/>
    <mergeCell ref="AR71:AT72"/>
    <mergeCell ref="AX71:AZ72"/>
    <mergeCell ref="BA71:BC72"/>
    <mergeCell ref="BD71:BF72"/>
    <mergeCell ref="BG71:BI72"/>
    <mergeCell ref="AU71:AW72"/>
    <mergeCell ref="Z62:AB62"/>
    <mergeCell ref="AX68:AZ68"/>
    <mergeCell ref="AL64:AN64"/>
    <mergeCell ref="Z66:AB66"/>
    <mergeCell ref="AF66:AH66"/>
    <mergeCell ref="AL66:AN66"/>
    <mergeCell ref="AO66:AQ66"/>
    <mergeCell ref="AR66:AT66"/>
    <mergeCell ref="T62:V62"/>
    <mergeCell ref="W62:Y62"/>
    <mergeCell ref="E66:G66"/>
    <mergeCell ref="H66:J66"/>
    <mergeCell ref="K66:M66"/>
    <mergeCell ref="AC68:AE68"/>
    <mergeCell ref="AF68:AH68"/>
    <mergeCell ref="AL68:AN68"/>
    <mergeCell ref="AI66:AK66"/>
    <mergeCell ref="AC66:AE66"/>
    <mergeCell ref="E64:G64"/>
    <mergeCell ref="H64:J64"/>
    <mergeCell ref="K64:M64"/>
    <mergeCell ref="N64:P64"/>
    <mergeCell ref="Q64:S64"/>
    <mergeCell ref="T64:V64"/>
    <mergeCell ref="W64:Y64"/>
    <mergeCell ref="Z68:AB68"/>
    <mergeCell ref="E68:G68"/>
    <mergeCell ref="H68:J68"/>
    <mergeCell ref="W68:Y68"/>
    <mergeCell ref="N66:P66"/>
    <mergeCell ref="N68:P68"/>
    <mergeCell ref="Q68:S68"/>
    <mergeCell ref="AU66:AW66"/>
    <mergeCell ref="BA62:BC62"/>
    <mergeCell ref="AU64:AW64"/>
    <mergeCell ref="AX64:AZ64"/>
    <mergeCell ref="AX62:AZ62"/>
    <mergeCell ref="AU62:AW62"/>
    <mergeCell ref="BG59:BI60"/>
    <mergeCell ref="AX66:AZ66"/>
    <mergeCell ref="AO68:AQ68"/>
    <mergeCell ref="AR68:AT68"/>
    <mergeCell ref="AU68:AW68"/>
    <mergeCell ref="AR64:AT64"/>
    <mergeCell ref="BD62:BF62"/>
    <mergeCell ref="BA68:BC68"/>
    <mergeCell ref="BD68:BF68"/>
    <mergeCell ref="BG68:BI68"/>
    <mergeCell ref="BA64:BC64"/>
    <mergeCell ref="BD64:BF64"/>
    <mergeCell ref="BG64:BI64"/>
    <mergeCell ref="BA66:BC66"/>
    <mergeCell ref="BD66:BF66"/>
    <mergeCell ref="BG66:BI66"/>
    <mergeCell ref="B74:BI74"/>
    <mergeCell ref="B75:BI75"/>
    <mergeCell ref="B76:D76"/>
    <mergeCell ref="E76:G76"/>
    <mergeCell ref="H76:J76"/>
    <mergeCell ref="K76:M76"/>
    <mergeCell ref="N76:P76"/>
    <mergeCell ref="Q76:S76"/>
    <mergeCell ref="T76:V76"/>
    <mergeCell ref="W76:Y76"/>
    <mergeCell ref="BA76:BC76"/>
    <mergeCell ref="AX78:AZ78"/>
    <mergeCell ref="BA78:BC78"/>
    <mergeCell ref="BD78:BF78"/>
    <mergeCell ref="BG78:BI78"/>
    <mergeCell ref="Z76:AB76"/>
    <mergeCell ref="AC76:AE76"/>
    <mergeCell ref="AF76:AH76"/>
    <mergeCell ref="AI76:AK76"/>
    <mergeCell ref="AI78:AK78"/>
    <mergeCell ref="T78:V78"/>
    <mergeCell ref="W78:Y78"/>
    <mergeCell ref="Z78:AB78"/>
    <mergeCell ref="AC78:AE78"/>
    <mergeCell ref="AF78:AH78"/>
    <mergeCell ref="BO60:CF61"/>
    <mergeCell ref="B69:BI69"/>
    <mergeCell ref="B78:D78"/>
    <mergeCell ref="E78:G78"/>
    <mergeCell ref="H78:J78"/>
    <mergeCell ref="K78:M78"/>
    <mergeCell ref="N78:P78"/>
    <mergeCell ref="Q78:S78"/>
    <mergeCell ref="AR78:AT78"/>
    <mergeCell ref="AU78:AW78"/>
    <mergeCell ref="BD76:BF76"/>
    <mergeCell ref="AL76:AN76"/>
    <mergeCell ref="AO76:AQ76"/>
    <mergeCell ref="AL78:AN78"/>
    <mergeCell ref="AO78:AQ78"/>
    <mergeCell ref="BG76:BI76"/>
    <mergeCell ref="AR76:AT76"/>
    <mergeCell ref="AU76:AW76"/>
    <mergeCell ref="AX76:AZ76"/>
    <mergeCell ref="DL50:DN51"/>
    <mergeCell ref="DF53:DH54"/>
    <mergeCell ref="DI53:DK54"/>
    <mergeCell ref="DL53:DN54"/>
    <mergeCell ref="B59:D60"/>
    <mergeCell ref="E59:G60"/>
    <mergeCell ref="H59:J60"/>
    <mergeCell ref="K59:M60"/>
    <mergeCell ref="CS57:DJ59"/>
    <mergeCell ref="Z59:AB60"/>
    <mergeCell ref="AC59:AE60"/>
    <mergeCell ref="AF59:AH60"/>
    <mergeCell ref="BO57:CF59"/>
    <mergeCell ref="BD59:BF60"/>
    <mergeCell ref="AI59:AK60"/>
    <mergeCell ref="N59:P60"/>
    <mergeCell ref="Q59:S60"/>
    <mergeCell ref="T59:V60"/>
    <mergeCell ref="W59:Y60"/>
    <mergeCell ref="AL59:AN60"/>
    <mergeCell ref="BA57:BC57"/>
    <mergeCell ref="BD57:BF57"/>
    <mergeCell ref="BG57:BI57"/>
    <mergeCell ref="AX57:AZ57"/>
    <mergeCell ref="CS60:DJ61"/>
    <mergeCell ref="AR59:AT60"/>
    <mergeCell ref="AU59:AW60"/>
    <mergeCell ref="AL57:AN57"/>
    <mergeCell ref="AO59:AQ60"/>
    <mergeCell ref="AF57:AH57"/>
    <mergeCell ref="AO57:AQ57"/>
    <mergeCell ref="AR54:AT55"/>
    <mergeCell ref="AU54:AW55"/>
    <mergeCell ref="AF54:AH55"/>
    <mergeCell ref="AI54:AK55"/>
    <mergeCell ref="AL54:AN55"/>
    <mergeCell ref="AO54:AQ55"/>
    <mergeCell ref="AU57:AW57"/>
    <mergeCell ref="AI57:AK57"/>
    <mergeCell ref="AR57:AT57"/>
    <mergeCell ref="AX59:AZ60"/>
    <mergeCell ref="BA59:BC60"/>
    <mergeCell ref="CE53:CG54"/>
    <mergeCell ref="BK52:CC55"/>
    <mergeCell ref="CK53:CM54"/>
    <mergeCell ref="CQ53:CS54"/>
    <mergeCell ref="CN53:CP54"/>
    <mergeCell ref="AX54:AZ55"/>
    <mergeCell ref="AE31:AG31"/>
    <mergeCell ref="AH31:AJ31"/>
    <mergeCell ref="AK31:AM31"/>
    <mergeCell ref="AZ31:BB31"/>
    <mergeCell ref="B28:X28"/>
    <mergeCell ref="B29:X29"/>
    <mergeCell ref="Z28:AC29"/>
    <mergeCell ref="CT28:CV29"/>
    <mergeCell ref="CS31:CU31"/>
    <mergeCell ref="CP31:CR31"/>
    <mergeCell ref="CM31:CO31"/>
    <mergeCell ref="CJ31:CL31"/>
    <mergeCell ref="BC31:BE31"/>
    <mergeCell ref="BF31:BH31"/>
    <mergeCell ref="CB28:CD29"/>
    <mergeCell ref="AF28:BH28"/>
    <mergeCell ref="AF29:BH29"/>
    <mergeCell ref="BI31:BK31"/>
    <mergeCell ref="CG31:CI31"/>
    <mergeCell ref="CD31:CF31"/>
    <mergeCell ref="CA31:CC31"/>
    <mergeCell ref="B31:AD31"/>
  </mergeCells>
  <phoneticPr fontId="23" type="noConversion"/>
  <printOptions horizontalCentered="1"/>
  <pageMargins left="0.19685039370078741" right="0.19685039370078741" top="0.48" bottom="0.44" header="0" footer="0"/>
  <pageSetup paperSize="9" scale="9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pageSetUpPr fitToPage="1"/>
  </sheetPr>
  <dimension ref="A1:DY91"/>
  <sheetViews>
    <sheetView showGridLines="0" view="pageBreakPreview" zoomScaleNormal="100" zoomScaleSheetLayoutView="100" workbookViewId="0">
      <selection activeCell="CB48" sqref="CB48:CD49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2" width="6.3046875" style="4" customWidth="1"/>
    <col min="33" max="33" width="0.843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71"/>
      <c r="B1" s="171"/>
      <c r="C1" s="171"/>
      <c r="D1" s="172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73"/>
      <c r="AA1" s="171"/>
      <c r="AB1" s="171"/>
      <c r="AC1" s="172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140"/>
      <c r="C2" s="140"/>
      <c r="D2" s="14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40"/>
      <c r="AA2" s="140"/>
      <c r="AB2" s="140"/>
      <c r="AC2" s="5"/>
      <c r="AD2" s="134" t="s">
        <v>2</v>
      </c>
      <c r="AE2" s="134"/>
      <c r="AF2" s="134"/>
      <c r="AG2" s="134"/>
      <c r="AH2" s="134"/>
      <c r="AI2" s="134"/>
      <c r="AJ2" s="134"/>
      <c r="AK2" s="134"/>
      <c r="AL2" s="164" t="str">
        <f>IF(ISBLANK(str.1!AL2),"",str.1!AL2)</f>
        <v>1</v>
      </c>
      <c r="AM2" s="165"/>
      <c r="AN2" s="166"/>
      <c r="AO2" s="164" t="str">
        <f>IF(ISBLANK(str.1!AO2),"",str.1!AO2)</f>
        <v>2</v>
      </c>
      <c r="AP2" s="165"/>
      <c r="AQ2" s="166"/>
      <c r="AR2" s="164" t="str">
        <f>IF(ISBLANK(str.1!AR2),"",str.1!AR2)</f>
        <v>2</v>
      </c>
      <c r="AS2" s="165"/>
      <c r="AT2" s="166"/>
      <c r="AU2" s="164" t="str">
        <f>IF(ISBLANK(str.1!AU2),"",str.1!AU2)</f>
        <v>1</v>
      </c>
      <c r="AV2" s="165"/>
      <c r="AW2" s="166"/>
      <c r="AX2" s="164" t="str">
        <f>IF(ISBLANK(str.1!AX2),"",str.1!AX2)</f>
        <v>1</v>
      </c>
      <c r="AY2" s="165"/>
      <c r="AZ2" s="166"/>
      <c r="BA2" s="164" t="str">
        <f>IF(ISBLANK(str.1!BA2),"",str.1!BA2)</f>
        <v>1</v>
      </c>
      <c r="BB2" s="165"/>
      <c r="BC2" s="166"/>
      <c r="BD2" s="164" t="str">
        <f>IF(ISBLANK(str.1!BD2),"",str.1!BD2)</f>
        <v>2</v>
      </c>
      <c r="BE2" s="165"/>
      <c r="BF2" s="166"/>
      <c r="BG2" s="164" t="str">
        <f>IF(ISBLANK(str.1!BG2),"",str.1!BG2)</f>
        <v>2</v>
      </c>
      <c r="BH2" s="165"/>
      <c r="BI2" s="166"/>
      <c r="BJ2" s="164" t="str">
        <f>IF(ISBLANK(str.1!BJ2),"",str.1!BJ2)</f>
        <v>1</v>
      </c>
      <c r="BK2" s="165"/>
      <c r="BL2" s="166"/>
      <c r="BM2" s="164" t="str">
        <f>IF(ISBLANK(str.1!BM2),"",str.1!BM2)</f>
        <v>2</v>
      </c>
      <c r="BN2" s="165"/>
      <c r="BO2" s="166"/>
      <c r="BP2" s="164" t="str">
        <f>IF(ISBLANK(str.1!BP2),"",str.1!BP2)</f>
        <v>2</v>
      </c>
      <c r="BQ2" s="165"/>
      <c r="BR2" s="166"/>
      <c r="BS2" s="164" t="str">
        <f>IF(ISBLANK(str.1!BS2),"",str.1!BS2)</f>
        <v>1</v>
      </c>
      <c r="BT2" s="165"/>
      <c r="BU2" s="166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7"/>
      <c r="AM3" s="168"/>
      <c r="AN3" s="169"/>
      <c r="AO3" s="167"/>
      <c r="AP3" s="168"/>
      <c r="AQ3" s="169"/>
      <c r="AR3" s="167"/>
      <c r="AS3" s="168"/>
      <c r="AT3" s="169"/>
      <c r="AU3" s="167"/>
      <c r="AV3" s="168"/>
      <c r="AW3" s="169"/>
      <c r="AX3" s="167"/>
      <c r="AY3" s="168"/>
      <c r="AZ3" s="169"/>
      <c r="BA3" s="167"/>
      <c r="BB3" s="168"/>
      <c r="BC3" s="169"/>
      <c r="BD3" s="167"/>
      <c r="BE3" s="168"/>
      <c r="BF3" s="169"/>
      <c r="BG3" s="167"/>
      <c r="BH3" s="168"/>
      <c r="BI3" s="169"/>
      <c r="BJ3" s="167"/>
      <c r="BK3" s="168"/>
      <c r="BL3" s="169"/>
      <c r="BM3" s="167"/>
      <c r="BN3" s="168"/>
      <c r="BO3" s="169"/>
      <c r="BP3" s="167"/>
      <c r="BQ3" s="168"/>
      <c r="BR3" s="169"/>
      <c r="BS3" s="167"/>
      <c r="BT3" s="168"/>
      <c r="BU3" s="169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34" t="s">
        <v>3</v>
      </c>
      <c r="AE5" s="134"/>
      <c r="AF5" s="134"/>
      <c r="AG5" s="134"/>
      <c r="AH5" s="134"/>
      <c r="AI5" s="134"/>
      <c r="AJ5" s="134"/>
      <c r="AK5" s="134"/>
      <c r="AL5" s="158" t="str">
        <f>IF(ISBLANK(str.1!AL5),"",str.1!AL5)</f>
        <v>-</v>
      </c>
      <c r="AM5" s="158"/>
      <c r="AN5" s="158"/>
      <c r="AO5" s="158" t="str">
        <f>IF(ISBLANK(str.1!AO5),"",str.1!AO5)</f>
        <v>-</v>
      </c>
      <c r="AP5" s="158"/>
      <c r="AQ5" s="158"/>
      <c r="AR5" s="158" t="str">
        <f>IF(ISBLANK(str.1!AR5),"",str.1!AR5)</f>
        <v>-</v>
      </c>
      <c r="AS5" s="158"/>
      <c r="AT5" s="158"/>
      <c r="AU5" s="158" t="str">
        <f>IF(ISBLANK(str.1!AU5),"",str.1!AU5)</f>
        <v>-</v>
      </c>
      <c r="AV5" s="158"/>
      <c r="AW5" s="158"/>
      <c r="AX5" s="158" t="str">
        <f>IF(ISBLANK(str.1!AX5),"",str.1!AX5)</f>
        <v>-</v>
      </c>
      <c r="AY5" s="158"/>
      <c r="AZ5" s="158"/>
      <c r="BA5" s="158" t="str">
        <f>IF(ISBLANK(str.1!BA5),"",str.1!BA5)</f>
        <v>-</v>
      </c>
      <c r="BB5" s="158"/>
      <c r="BC5" s="158"/>
      <c r="BD5" s="158" t="str">
        <f>IF(ISBLANK(str.1!BD5),"",str.1!BD5)</f>
        <v>-</v>
      </c>
      <c r="BE5" s="158"/>
      <c r="BF5" s="158"/>
      <c r="BG5" s="158" t="str">
        <f>IF(ISBLANK(str.1!BG5),"",str.1!BG5)</f>
        <v>-</v>
      </c>
      <c r="BH5" s="158"/>
      <c r="BI5" s="158"/>
      <c r="BJ5" s="158" t="str">
        <f>IF(ISBLANK(str.1!BJ5),"",str.1!BJ5)</f>
        <v>-</v>
      </c>
      <c r="BK5" s="158"/>
      <c r="BL5" s="158"/>
      <c r="BM5" s="159" t="s">
        <v>4</v>
      </c>
      <c r="BN5" s="160"/>
      <c r="BO5" s="160"/>
      <c r="BP5" s="160"/>
      <c r="BQ5" s="160"/>
      <c r="BR5" s="161"/>
      <c r="BS5" s="80" t="s">
        <v>43</v>
      </c>
      <c r="BT5" s="80"/>
      <c r="BU5" s="80"/>
      <c r="BV5" s="80" t="s">
        <v>43</v>
      </c>
      <c r="BW5" s="80"/>
      <c r="BX5" s="80"/>
      <c r="BY5" s="80" t="s">
        <v>55</v>
      </c>
      <c r="BZ5" s="80"/>
      <c r="CA5" s="80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57" t="s">
        <v>64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157"/>
      <c r="BP8" s="157"/>
      <c r="BQ8" s="157"/>
      <c r="BR8" s="157"/>
      <c r="BS8" s="157"/>
      <c r="BT8" s="157"/>
      <c r="BU8" s="157"/>
      <c r="BV8" s="157"/>
      <c r="BW8" s="157"/>
      <c r="BX8" s="157"/>
      <c r="BY8" s="157"/>
      <c r="BZ8" s="157"/>
      <c r="CA8" s="157"/>
      <c r="CB8" s="157"/>
      <c r="CC8" s="157"/>
      <c r="CD8" s="157"/>
      <c r="CE8" s="157"/>
      <c r="CF8" s="157"/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57" t="s">
        <v>76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7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7"/>
      <c r="CO9" s="157"/>
      <c r="CP9" s="157"/>
      <c r="CQ9" s="157"/>
      <c r="CR9" s="157"/>
      <c r="CS9" s="157"/>
      <c r="CT9" s="157"/>
      <c r="CU9" s="157"/>
      <c r="CV9" s="157"/>
      <c r="CW9" s="157"/>
      <c r="CX9" s="157"/>
      <c r="CY9" s="157"/>
      <c r="CZ9" s="157"/>
      <c r="DA9" s="157"/>
      <c r="DB9" s="157"/>
      <c r="DC9" s="157"/>
      <c r="DD9" s="157"/>
      <c r="DE9" s="157"/>
      <c r="DF9" s="157"/>
      <c r="DG9" s="157"/>
      <c r="DH9" s="157"/>
      <c r="DI9" s="157"/>
      <c r="DJ9" s="157"/>
      <c r="DK9" s="157"/>
      <c r="DL9" s="157"/>
      <c r="DM9" s="157"/>
      <c r="DN9" s="157"/>
      <c r="DO9" s="157"/>
      <c r="DP9" s="157"/>
      <c r="DQ9" s="157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57" t="s">
        <v>45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7"/>
      <c r="BM10" s="157"/>
      <c r="BN10" s="157"/>
      <c r="BO10" s="157"/>
      <c r="BP10" s="157"/>
      <c r="BQ10" s="157"/>
      <c r="BR10" s="157"/>
      <c r="BS10" s="157"/>
      <c r="BT10" s="157"/>
      <c r="BU10" s="157"/>
      <c r="BV10" s="157"/>
      <c r="BW10" s="157"/>
      <c r="BX10" s="157"/>
      <c r="BY10" s="157"/>
      <c r="BZ10" s="157"/>
      <c r="CA10" s="157"/>
      <c r="CB10" s="157"/>
      <c r="CC10" s="157"/>
      <c r="CD10" s="157"/>
      <c r="CE10" s="157"/>
      <c r="CF10" s="157"/>
      <c r="CG10" s="157"/>
      <c r="CH10" s="157"/>
      <c r="CI10" s="157"/>
      <c r="CJ10" s="157"/>
      <c r="CK10" s="157"/>
      <c r="CL10" s="157"/>
      <c r="CM10" s="157"/>
      <c r="CN10" s="157"/>
      <c r="CO10" s="157"/>
      <c r="CP10" s="157"/>
      <c r="CQ10" s="157"/>
      <c r="CR10" s="157"/>
      <c r="CS10" s="157"/>
      <c r="CT10" s="157"/>
      <c r="CU10" s="157"/>
      <c r="CV10" s="157"/>
      <c r="CW10" s="157"/>
      <c r="CX10" s="157"/>
      <c r="CY10" s="157"/>
      <c r="CZ10" s="157"/>
      <c r="DA10" s="157"/>
      <c r="DB10" s="157"/>
      <c r="DC10" s="157"/>
      <c r="DD10" s="157"/>
      <c r="DE10" s="157"/>
      <c r="DF10" s="157"/>
      <c r="DG10" s="157"/>
      <c r="DH10" s="157"/>
      <c r="DI10" s="157"/>
      <c r="DJ10" s="157"/>
      <c r="DK10" s="157"/>
      <c r="DL10" s="157"/>
      <c r="DM10" s="157"/>
      <c r="DN10" s="157"/>
      <c r="DO10" s="157"/>
      <c r="DP10" s="157"/>
      <c r="DQ10" s="157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52" t="s">
        <v>31</v>
      </c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2"/>
      <c r="BJ12" s="152"/>
      <c r="BK12" s="152"/>
      <c r="BL12" s="152"/>
      <c r="BM12" s="57"/>
      <c r="BN12" s="57"/>
      <c r="BO12" s="57"/>
      <c r="BP12" s="151" t="s">
        <v>30</v>
      </c>
      <c r="BQ12" s="151"/>
      <c r="BR12" s="151"/>
      <c r="BS12" s="151"/>
      <c r="BT12" s="151"/>
      <c r="BU12" s="151"/>
      <c r="BV12" s="151"/>
      <c r="BW12" s="151"/>
      <c r="BX12" s="57"/>
      <c r="BY12" s="57"/>
      <c r="BZ12" s="57"/>
      <c r="CA12" s="152" t="s">
        <v>68</v>
      </c>
      <c r="CB12" s="152"/>
      <c r="CC12" s="152"/>
      <c r="CD12" s="152"/>
      <c r="CE12" s="152"/>
      <c r="CF12" s="152"/>
      <c r="CG12" s="152"/>
      <c r="CH12" s="152"/>
      <c r="CI12" s="152"/>
      <c r="CJ12" s="152"/>
      <c r="CK12" s="152"/>
      <c r="CL12" s="152"/>
      <c r="CM12" s="152"/>
      <c r="CN12" s="152"/>
      <c r="CO12" s="152"/>
      <c r="CP12" s="152"/>
      <c r="CQ12" s="152"/>
      <c r="CR12" s="152"/>
      <c r="CS12" s="152"/>
      <c r="CT12" s="152"/>
      <c r="CU12" s="152"/>
      <c r="CV12" s="152"/>
      <c r="CW12" s="152"/>
      <c r="CX12" s="152"/>
      <c r="CY12" s="152"/>
      <c r="CZ12" s="152"/>
      <c r="DA12" s="152"/>
      <c r="DB12" s="152"/>
      <c r="DC12" s="152"/>
      <c r="DD12" s="152"/>
      <c r="DE12" s="152"/>
      <c r="DF12" s="152"/>
      <c r="DG12" s="152"/>
      <c r="DH12" s="152"/>
      <c r="DI12" s="152"/>
      <c r="DJ12" s="152"/>
      <c r="DK12" s="152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53">
        <v>1</v>
      </c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58"/>
      <c r="BN13" s="58"/>
      <c r="BO13" s="58"/>
      <c r="BP13" s="156">
        <v>2</v>
      </c>
      <c r="BQ13" s="156"/>
      <c r="BR13" s="156"/>
      <c r="BS13" s="156"/>
      <c r="BT13" s="156"/>
      <c r="BU13" s="156"/>
      <c r="BV13" s="156"/>
      <c r="BW13" s="156"/>
      <c r="BX13" s="58"/>
      <c r="BY13" s="58"/>
      <c r="BZ13" s="58"/>
      <c r="CA13" s="153">
        <v>3</v>
      </c>
      <c r="CB13" s="153"/>
      <c r="CC13" s="153"/>
      <c r="CD13" s="153"/>
      <c r="CE13" s="153"/>
      <c r="CF13" s="153"/>
      <c r="CG13" s="153"/>
      <c r="CH13" s="153"/>
      <c r="CI13" s="153"/>
      <c r="CJ13" s="153"/>
      <c r="CK13" s="153"/>
      <c r="CL13" s="153"/>
      <c r="CM13" s="153"/>
      <c r="CN13" s="153"/>
      <c r="CO13" s="153"/>
      <c r="CP13" s="153"/>
      <c r="CQ13" s="153"/>
      <c r="CR13" s="153"/>
      <c r="CS13" s="153"/>
      <c r="CT13" s="153"/>
      <c r="CU13" s="153"/>
      <c r="CV13" s="153"/>
      <c r="CW13" s="153"/>
      <c r="CX13" s="153"/>
      <c r="CY13" s="153"/>
      <c r="CZ13" s="153"/>
      <c r="DA13" s="153"/>
      <c r="DB13" s="153"/>
      <c r="DC13" s="153"/>
      <c r="DD13" s="153"/>
      <c r="DE13" s="153"/>
      <c r="DF13" s="153"/>
      <c r="DG13" s="153"/>
      <c r="DH13" s="153"/>
      <c r="DI13" s="153"/>
      <c r="DJ13" s="153"/>
      <c r="DK13" s="153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54" t="s">
        <v>77</v>
      </c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4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5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  <c r="AM15" s="154"/>
      <c r="AN15" s="154"/>
      <c r="AO15" s="154"/>
      <c r="AP15" s="154"/>
      <c r="AQ15" s="154"/>
      <c r="AR15" s="154"/>
      <c r="AS15" s="154"/>
      <c r="AT15" s="154"/>
      <c r="AU15" s="154"/>
      <c r="AV15" s="154"/>
      <c r="AW15" s="154"/>
      <c r="AX15" s="154"/>
      <c r="AY15" s="154"/>
      <c r="AZ15" s="154"/>
      <c r="BA15" s="154"/>
      <c r="BB15" s="154"/>
      <c r="BC15" s="154"/>
      <c r="BD15" s="154"/>
      <c r="BE15" s="154"/>
      <c r="BF15" s="154"/>
      <c r="BG15" s="154"/>
      <c r="BH15" s="154"/>
      <c r="BI15" s="154"/>
      <c r="BJ15" s="154"/>
      <c r="BK15" s="154"/>
      <c r="BL15" s="154"/>
      <c r="BM15" s="25"/>
      <c r="BN15" s="37"/>
      <c r="BO15" s="37"/>
      <c r="BP15" s="142" t="s">
        <v>47</v>
      </c>
      <c r="BQ15" s="142"/>
      <c r="BR15" s="142"/>
      <c r="BS15" s="142"/>
      <c r="BT15" s="142"/>
      <c r="BU15" s="142"/>
      <c r="BV15" s="142"/>
      <c r="BW15" s="142"/>
      <c r="BX15" s="37"/>
      <c r="BY15" s="37"/>
      <c r="BZ15" s="37"/>
      <c r="CA15" s="37"/>
      <c r="CB15" s="155" t="s">
        <v>44</v>
      </c>
      <c r="CC15" s="155"/>
      <c r="CD15" s="155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154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8" customHeight="1" x14ac:dyDescent="0.3">
      <c r="A17" s="20"/>
      <c r="B17" s="23" t="s">
        <v>65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142" t="s">
        <v>29</v>
      </c>
      <c r="BQ17" s="142"/>
      <c r="BR17" s="142"/>
      <c r="BS17" s="142"/>
      <c r="BT17" s="142"/>
      <c r="BU17" s="142"/>
      <c r="BV17" s="142"/>
      <c r="BW17" s="142"/>
      <c r="BX17" s="56"/>
      <c r="BY17" s="56"/>
      <c r="BZ17" s="56"/>
      <c r="CA17" s="56"/>
      <c r="CB17" s="149" t="s">
        <v>54</v>
      </c>
      <c r="CC17" s="149"/>
      <c r="CD17" s="149"/>
      <c r="CE17" s="149" t="s">
        <v>43</v>
      </c>
      <c r="CF17" s="149"/>
      <c r="CG17" s="149"/>
      <c r="CH17" s="149" t="s">
        <v>53</v>
      </c>
      <c r="CI17" s="149"/>
      <c r="CJ17" s="149"/>
      <c r="CK17" s="80" t="s">
        <v>55</v>
      </c>
      <c r="CL17" s="80"/>
      <c r="CM17" s="80"/>
      <c r="CN17" s="80" t="s">
        <v>152</v>
      </c>
      <c r="CO17" s="80"/>
      <c r="CP17" s="80"/>
      <c r="CQ17" s="80" t="s">
        <v>43</v>
      </c>
      <c r="CR17" s="80"/>
      <c r="CS17" s="80"/>
      <c r="CT17" s="80" t="s">
        <v>43</v>
      </c>
      <c r="CU17" s="80"/>
      <c r="CV17" s="80"/>
      <c r="CW17" s="80" t="s">
        <v>43</v>
      </c>
      <c r="CX17" s="80"/>
      <c r="CY17" s="80"/>
      <c r="CZ17" s="80"/>
      <c r="DA17" s="80"/>
      <c r="DB17" s="80"/>
      <c r="DC17" s="80"/>
      <c r="DD17" s="80"/>
      <c r="DE17" s="80"/>
      <c r="DF17" s="80"/>
      <c r="DG17" s="80"/>
      <c r="DH17" s="8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5.15" customHeight="1" x14ac:dyDescent="0.3">
      <c r="A18" s="20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56"/>
      <c r="BN18" s="56"/>
      <c r="BO18" s="56"/>
      <c r="BP18" s="16"/>
      <c r="BQ18" s="16"/>
      <c r="BR18" s="16"/>
      <c r="BS18" s="16"/>
      <c r="BT18" s="16"/>
      <c r="BU18" s="16"/>
      <c r="BV18" s="16"/>
      <c r="BW18" s="16"/>
      <c r="BX18" s="56"/>
      <c r="BY18" s="56"/>
      <c r="BZ18" s="56"/>
      <c r="CA18" s="56"/>
      <c r="CB18" s="54"/>
      <c r="CC18" s="54"/>
      <c r="CD18" s="54"/>
      <c r="CE18" s="54"/>
      <c r="CF18" s="54"/>
      <c r="CG18" s="54"/>
      <c r="CH18" s="54"/>
      <c r="CI18" s="54"/>
      <c r="CJ18" s="54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.9" customHeight="1" x14ac:dyDescent="0.3">
      <c r="A19" s="20"/>
      <c r="B19" s="119" t="s">
        <v>66</v>
      </c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20"/>
      <c r="BQ19" s="20"/>
      <c r="BR19" s="20"/>
      <c r="BS19" s="20"/>
      <c r="BT19" s="20"/>
      <c r="BU19" s="20"/>
      <c r="BV19" s="20"/>
      <c r="BW19" s="20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9" customHeight="1" x14ac:dyDescent="0.3">
      <c r="A20" s="20"/>
      <c r="B20" s="174" t="s">
        <v>67</v>
      </c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42" t="s">
        <v>32</v>
      </c>
      <c r="BQ20" s="142"/>
      <c r="BR20" s="142"/>
      <c r="BS20" s="142"/>
      <c r="BT20" s="142"/>
      <c r="BU20" s="142"/>
      <c r="BV20" s="142"/>
      <c r="BW20" s="142"/>
      <c r="BX20" s="56"/>
      <c r="BY20" s="56"/>
      <c r="BZ20" s="56"/>
      <c r="CA20" s="56"/>
      <c r="CB20" s="143" t="s">
        <v>55</v>
      </c>
      <c r="CC20" s="144"/>
      <c r="CD20" s="145"/>
      <c r="CE20" s="143" t="s">
        <v>154</v>
      </c>
      <c r="CF20" s="144"/>
      <c r="CG20" s="145"/>
      <c r="CH20" s="143" t="s">
        <v>164</v>
      </c>
      <c r="CI20" s="144"/>
      <c r="CJ20" s="145"/>
      <c r="CK20" s="143" t="s">
        <v>54</v>
      </c>
      <c r="CL20" s="144"/>
      <c r="CM20" s="145"/>
      <c r="CN20" s="143" t="s">
        <v>54</v>
      </c>
      <c r="CO20" s="144"/>
      <c r="CP20" s="145"/>
      <c r="CQ20" s="143" t="s">
        <v>169</v>
      </c>
      <c r="CR20" s="144"/>
      <c r="CS20" s="145"/>
      <c r="CT20" s="143" t="s">
        <v>169</v>
      </c>
      <c r="CU20" s="144"/>
      <c r="CV20" s="145"/>
      <c r="CW20" s="143" t="s">
        <v>169</v>
      </c>
      <c r="CX20" s="144"/>
      <c r="CY20" s="145"/>
      <c r="CZ20" s="143" t="s">
        <v>169</v>
      </c>
      <c r="DA20" s="144"/>
      <c r="DB20" s="145"/>
      <c r="DC20" s="143" t="s">
        <v>169</v>
      </c>
      <c r="DD20" s="144"/>
      <c r="DE20" s="145"/>
      <c r="DF20" s="143" t="s">
        <v>169</v>
      </c>
      <c r="DG20" s="144"/>
      <c r="DH20" s="145"/>
      <c r="DI20" s="143" t="s">
        <v>169</v>
      </c>
      <c r="DJ20" s="144"/>
      <c r="DK20" s="145"/>
      <c r="DL20" s="56"/>
      <c r="DM20" s="56"/>
      <c r="DN20" s="56"/>
      <c r="DO20" s="56"/>
      <c r="DP20" s="56"/>
      <c r="DQ20" s="56"/>
      <c r="DR20" s="20"/>
      <c r="DS20" s="40"/>
      <c r="DT20" s="40"/>
      <c r="DU20" s="40"/>
      <c r="DV20" s="40"/>
      <c r="DW20" s="40"/>
      <c r="DX20" s="40"/>
      <c r="DY20" s="40"/>
    </row>
    <row r="21" spans="1:129" ht="9" customHeight="1" x14ac:dyDescent="0.3">
      <c r="A21" s="20"/>
      <c r="B21" s="170" t="s">
        <v>126</v>
      </c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0"/>
      <c r="BL21" s="170"/>
      <c r="BM21" s="170"/>
      <c r="BN21" s="170"/>
      <c r="BO21" s="170"/>
      <c r="BP21" s="142"/>
      <c r="BQ21" s="142"/>
      <c r="BR21" s="142"/>
      <c r="BS21" s="142"/>
      <c r="BT21" s="142"/>
      <c r="BU21" s="142"/>
      <c r="BV21" s="142"/>
      <c r="BW21" s="142"/>
      <c r="BX21" s="56"/>
      <c r="BY21" s="56"/>
      <c r="BZ21" s="56"/>
      <c r="CA21" s="56"/>
      <c r="CB21" s="146"/>
      <c r="CC21" s="147"/>
      <c r="CD21" s="148"/>
      <c r="CE21" s="146"/>
      <c r="CF21" s="147"/>
      <c r="CG21" s="148"/>
      <c r="CH21" s="146"/>
      <c r="CI21" s="147"/>
      <c r="CJ21" s="148"/>
      <c r="CK21" s="146"/>
      <c r="CL21" s="147"/>
      <c r="CM21" s="148"/>
      <c r="CN21" s="146"/>
      <c r="CO21" s="147"/>
      <c r="CP21" s="148"/>
      <c r="CQ21" s="146"/>
      <c r="CR21" s="147"/>
      <c r="CS21" s="148"/>
      <c r="CT21" s="146"/>
      <c r="CU21" s="147"/>
      <c r="CV21" s="148"/>
      <c r="CW21" s="146"/>
      <c r="CX21" s="147"/>
      <c r="CY21" s="148"/>
      <c r="CZ21" s="146"/>
      <c r="DA21" s="147"/>
      <c r="DB21" s="148"/>
      <c r="DC21" s="146"/>
      <c r="DD21" s="147"/>
      <c r="DE21" s="148"/>
      <c r="DF21" s="146"/>
      <c r="DG21" s="147"/>
      <c r="DH21" s="148"/>
      <c r="DI21" s="146"/>
      <c r="DJ21" s="147"/>
      <c r="DK21" s="148"/>
      <c r="DL21" s="56"/>
      <c r="DM21" s="56"/>
      <c r="DN21" s="56"/>
      <c r="DO21" s="56"/>
      <c r="DP21" s="56"/>
      <c r="DQ21" s="56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70"/>
      <c r="BC22" s="170"/>
      <c r="BD22" s="170"/>
      <c r="BE22" s="170"/>
      <c r="BF22" s="170"/>
      <c r="BG22" s="170"/>
      <c r="BH22" s="170"/>
      <c r="BI22" s="170"/>
      <c r="BJ22" s="170"/>
      <c r="BK22" s="170"/>
      <c r="BL22" s="170"/>
      <c r="BM22" s="170"/>
      <c r="BN22" s="170"/>
      <c r="BO22" s="170"/>
      <c r="BP22" s="20"/>
      <c r="BQ22" s="20"/>
      <c r="BR22" s="20"/>
      <c r="BS22" s="20"/>
      <c r="BT22" s="20"/>
      <c r="BU22" s="20"/>
      <c r="BV22" s="20"/>
      <c r="BW22" s="20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8" customHeight="1" x14ac:dyDescent="0.3">
      <c r="A23" s="20"/>
      <c r="B23" s="23" t="s">
        <v>65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59"/>
      <c r="BM23" s="56"/>
      <c r="BN23" s="56"/>
      <c r="BO23" s="56"/>
      <c r="BP23" s="142" t="s">
        <v>33</v>
      </c>
      <c r="BQ23" s="142"/>
      <c r="BR23" s="142"/>
      <c r="BS23" s="142"/>
      <c r="BT23" s="142"/>
      <c r="BU23" s="142"/>
      <c r="BV23" s="142"/>
      <c r="BW23" s="142"/>
      <c r="BX23" s="56"/>
      <c r="BY23" s="56"/>
      <c r="BZ23" s="56"/>
      <c r="CA23" s="56"/>
      <c r="CB23" s="149"/>
      <c r="CC23" s="149"/>
      <c r="CD23" s="149"/>
      <c r="CE23" s="149"/>
      <c r="CF23" s="149"/>
      <c r="CG23" s="149"/>
      <c r="CH23" s="149"/>
      <c r="CI23" s="149"/>
      <c r="CJ23" s="149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  <c r="DB23" s="80"/>
      <c r="DC23" s="80"/>
      <c r="DD23" s="80"/>
      <c r="DE23" s="80"/>
      <c r="DF23" s="80"/>
      <c r="DG23" s="80"/>
      <c r="DH23" s="8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5.15" customHeight="1" x14ac:dyDescent="0.3">
      <c r="A24" s="20"/>
      <c r="B24" s="20"/>
      <c r="C24" s="20"/>
      <c r="D24" s="20"/>
      <c r="E24" s="23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55"/>
      <c r="BC24" s="55"/>
      <c r="BD24" s="55"/>
      <c r="BE24" s="55"/>
      <c r="BF24" s="55"/>
      <c r="BG24" s="55"/>
      <c r="BH24" s="55"/>
      <c r="BI24" s="55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9.9" customHeight="1" x14ac:dyDescent="0.3">
      <c r="A25" s="20"/>
      <c r="B25" s="175" t="s">
        <v>66</v>
      </c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9.9" customHeight="1" x14ac:dyDescent="0.3">
      <c r="A26" s="20"/>
      <c r="B26" s="175" t="s">
        <v>69</v>
      </c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37"/>
      <c r="CI26" s="37"/>
      <c r="CJ26" s="37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40"/>
      <c r="DT26" s="40"/>
      <c r="DU26" s="40"/>
      <c r="DV26" s="40"/>
      <c r="DW26" s="40"/>
      <c r="DX26" s="40"/>
      <c r="DY26" s="40"/>
    </row>
    <row r="27" spans="1:129" ht="9" customHeight="1" x14ac:dyDescent="0.3">
      <c r="A27" s="20"/>
      <c r="B27" s="176" t="s">
        <v>127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176"/>
      <c r="AT27" s="176"/>
      <c r="AU27" s="176"/>
      <c r="AV27" s="176"/>
      <c r="AW27" s="176"/>
      <c r="AX27" s="176"/>
      <c r="AY27" s="176"/>
      <c r="AZ27" s="176"/>
      <c r="BA27" s="176"/>
      <c r="BB27" s="176"/>
      <c r="BC27" s="176"/>
      <c r="BD27" s="176"/>
      <c r="BE27" s="176"/>
      <c r="BF27" s="176"/>
      <c r="BG27" s="176"/>
      <c r="BH27" s="176"/>
      <c r="BI27" s="176"/>
      <c r="BJ27" s="176"/>
      <c r="BK27" s="176"/>
      <c r="BL27" s="176"/>
      <c r="BM27" s="176"/>
      <c r="BN27" s="176"/>
      <c r="BO27" s="176"/>
      <c r="BP27" s="142" t="s">
        <v>37</v>
      </c>
      <c r="BQ27" s="142"/>
      <c r="BR27" s="142"/>
      <c r="BS27" s="142"/>
      <c r="BT27" s="142"/>
      <c r="BU27" s="142"/>
      <c r="BV27" s="142"/>
      <c r="BW27" s="142"/>
      <c r="BX27" s="56"/>
      <c r="BY27" s="56"/>
      <c r="BZ27" s="56"/>
      <c r="CA27" s="56"/>
      <c r="CB27" s="143" t="s">
        <v>54</v>
      </c>
      <c r="CC27" s="144"/>
      <c r="CD27" s="145"/>
      <c r="CE27" s="143" t="s">
        <v>44</v>
      </c>
      <c r="CF27" s="144"/>
      <c r="CG27" s="145"/>
      <c r="CH27" s="143" t="s">
        <v>164</v>
      </c>
      <c r="CI27" s="144"/>
      <c r="CJ27" s="145"/>
      <c r="CK27" s="143" t="s">
        <v>151</v>
      </c>
      <c r="CL27" s="144"/>
      <c r="CM27" s="145"/>
      <c r="CN27" s="143" t="s">
        <v>43</v>
      </c>
      <c r="CO27" s="144"/>
      <c r="CP27" s="145"/>
      <c r="CQ27" s="143" t="s">
        <v>169</v>
      </c>
      <c r="CR27" s="144"/>
      <c r="CS27" s="145"/>
      <c r="CT27" s="143" t="s">
        <v>169</v>
      </c>
      <c r="CU27" s="144"/>
      <c r="CV27" s="145"/>
      <c r="CW27" s="143" t="s">
        <v>169</v>
      </c>
      <c r="CX27" s="144"/>
      <c r="CY27" s="145"/>
      <c r="CZ27" s="143" t="s">
        <v>169</v>
      </c>
      <c r="DA27" s="144"/>
      <c r="DB27" s="145"/>
      <c r="DC27" s="143" t="s">
        <v>169</v>
      </c>
      <c r="DD27" s="144"/>
      <c r="DE27" s="145"/>
      <c r="DF27" s="143" t="s">
        <v>169</v>
      </c>
      <c r="DG27" s="144"/>
      <c r="DH27" s="145"/>
      <c r="DI27" s="143" t="s">
        <v>169</v>
      </c>
      <c r="DJ27" s="144"/>
      <c r="DK27" s="145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9" customHeight="1" x14ac:dyDescent="0.3">
      <c r="A28" s="20"/>
      <c r="B28" s="176" t="s">
        <v>128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76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  <c r="AN28" s="176"/>
      <c r="AO28" s="176"/>
      <c r="AP28" s="176"/>
      <c r="AQ28" s="176"/>
      <c r="AR28" s="176"/>
      <c r="AS28" s="176"/>
      <c r="AT28" s="176"/>
      <c r="AU28" s="176"/>
      <c r="AV28" s="176"/>
      <c r="AW28" s="176"/>
      <c r="AX28" s="176"/>
      <c r="AY28" s="176"/>
      <c r="AZ28" s="176"/>
      <c r="BA28" s="176"/>
      <c r="BB28" s="176"/>
      <c r="BC28" s="176"/>
      <c r="BD28" s="176"/>
      <c r="BE28" s="176"/>
      <c r="BF28" s="176"/>
      <c r="BG28" s="176"/>
      <c r="BH28" s="176"/>
      <c r="BI28" s="176"/>
      <c r="BJ28" s="176"/>
      <c r="BK28" s="176"/>
      <c r="BL28" s="176"/>
      <c r="BM28" s="176"/>
      <c r="BN28" s="176"/>
      <c r="BO28" s="176"/>
      <c r="BP28" s="142"/>
      <c r="BQ28" s="142"/>
      <c r="BR28" s="142"/>
      <c r="BS28" s="142"/>
      <c r="BT28" s="142"/>
      <c r="BU28" s="142"/>
      <c r="BV28" s="142"/>
      <c r="BW28" s="142"/>
      <c r="BX28" s="56"/>
      <c r="BY28" s="56"/>
      <c r="BZ28" s="56"/>
      <c r="CA28" s="56"/>
      <c r="CB28" s="146"/>
      <c r="CC28" s="147"/>
      <c r="CD28" s="148"/>
      <c r="CE28" s="146"/>
      <c r="CF28" s="147"/>
      <c r="CG28" s="148"/>
      <c r="CH28" s="146"/>
      <c r="CI28" s="147"/>
      <c r="CJ28" s="148"/>
      <c r="CK28" s="146"/>
      <c r="CL28" s="147"/>
      <c r="CM28" s="148"/>
      <c r="CN28" s="146"/>
      <c r="CO28" s="147"/>
      <c r="CP28" s="148"/>
      <c r="CQ28" s="146"/>
      <c r="CR28" s="147"/>
      <c r="CS28" s="148"/>
      <c r="CT28" s="146"/>
      <c r="CU28" s="147"/>
      <c r="CV28" s="148"/>
      <c r="CW28" s="146"/>
      <c r="CX28" s="147"/>
      <c r="CY28" s="148"/>
      <c r="CZ28" s="146"/>
      <c r="DA28" s="147"/>
      <c r="DB28" s="148"/>
      <c r="DC28" s="146"/>
      <c r="DD28" s="147"/>
      <c r="DE28" s="148"/>
      <c r="DF28" s="146"/>
      <c r="DG28" s="147"/>
      <c r="DH28" s="148"/>
      <c r="DI28" s="146"/>
      <c r="DJ28" s="147"/>
      <c r="DK28" s="148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9.9" customHeight="1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24.75" customHeight="1" x14ac:dyDescent="0.3">
      <c r="A30" s="20"/>
      <c r="B30" s="177" t="s">
        <v>129</v>
      </c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  <c r="AT30" s="177"/>
      <c r="AU30" s="177"/>
      <c r="AV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177"/>
      <c r="BL30" s="177"/>
      <c r="BM30" s="177"/>
      <c r="BN30" s="177"/>
      <c r="BO30" s="177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20"/>
      <c r="DS30" s="40"/>
      <c r="DT30" s="40"/>
      <c r="DU30" s="40"/>
      <c r="DV30" s="40"/>
      <c r="DW30" s="40"/>
      <c r="DX30" s="40"/>
      <c r="DY30" s="40"/>
    </row>
    <row r="31" spans="1:129" ht="9" customHeight="1" x14ac:dyDescent="0.3">
      <c r="A31" s="20"/>
      <c r="B31" s="170" t="s">
        <v>130</v>
      </c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  <c r="AP31" s="170"/>
      <c r="AQ31" s="170"/>
      <c r="AR31" s="170"/>
      <c r="AS31" s="170"/>
      <c r="AT31" s="170"/>
      <c r="AU31" s="170"/>
      <c r="AV31" s="170"/>
      <c r="AW31" s="170"/>
      <c r="AX31" s="170"/>
      <c r="AY31" s="170"/>
      <c r="AZ31" s="170"/>
      <c r="BA31" s="170"/>
      <c r="BB31" s="170"/>
      <c r="BC31" s="170"/>
      <c r="BD31" s="170"/>
      <c r="BE31" s="170"/>
      <c r="BF31" s="170"/>
      <c r="BG31" s="170"/>
      <c r="BH31" s="170"/>
      <c r="BI31" s="170"/>
      <c r="BJ31" s="170"/>
      <c r="BK31" s="170"/>
      <c r="BL31" s="170"/>
      <c r="BM31" s="170"/>
      <c r="BN31" s="170"/>
      <c r="BO31" s="170"/>
      <c r="BP31" s="142" t="s">
        <v>38</v>
      </c>
      <c r="BQ31" s="142"/>
      <c r="BR31" s="142"/>
      <c r="BS31" s="142"/>
      <c r="BT31" s="142"/>
      <c r="BU31" s="142"/>
      <c r="BV31" s="142"/>
      <c r="BW31" s="142"/>
      <c r="BX31" s="56"/>
      <c r="BY31" s="56"/>
      <c r="BZ31" s="56"/>
      <c r="CA31" s="56"/>
      <c r="CB31" s="143"/>
      <c r="CC31" s="144"/>
      <c r="CD31" s="145"/>
      <c r="CE31" s="143"/>
      <c r="CF31" s="144"/>
      <c r="CG31" s="145"/>
      <c r="CH31" s="143"/>
      <c r="CI31" s="144"/>
      <c r="CJ31" s="145"/>
      <c r="CK31" s="143"/>
      <c r="CL31" s="144"/>
      <c r="CM31" s="145"/>
      <c r="CN31" s="143"/>
      <c r="CO31" s="144"/>
      <c r="CP31" s="145"/>
      <c r="CQ31" s="143"/>
      <c r="CR31" s="144"/>
      <c r="CS31" s="145"/>
      <c r="CT31" s="143"/>
      <c r="CU31" s="144"/>
      <c r="CV31" s="145"/>
      <c r="CW31" s="143"/>
      <c r="CX31" s="144"/>
      <c r="CY31" s="145"/>
      <c r="CZ31" s="143"/>
      <c r="DA31" s="144"/>
      <c r="DB31" s="145"/>
      <c r="DC31" s="143"/>
      <c r="DD31" s="144"/>
      <c r="DE31" s="145"/>
      <c r="DF31" s="143"/>
      <c r="DG31" s="144"/>
      <c r="DH31" s="145"/>
      <c r="DI31" s="143"/>
      <c r="DJ31" s="144"/>
      <c r="DK31" s="145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9" customHeight="1" x14ac:dyDescent="0.3">
      <c r="A32" s="20"/>
      <c r="B32" s="178" t="s">
        <v>131</v>
      </c>
      <c r="C32" s="178"/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42"/>
      <c r="BQ32" s="142"/>
      <c r="BR32" s="142"/>
      <c r="BS32" s="142"/>
      <c r="BT32" s="142"/>
      <c r="BU32" s="142"/>
      <c r="BV32" s="142"/>
      <c r="BW32" s="142"/>
      <c r="BX32" s="56"/>
      <c r="BY32" s="56"/>
      <c r="BZ32" s="56"/>
      <c r="CA32" s="56"/>
      <c r="CB32" s="146"/>
      <c r="CC32" s="147"/>
      <c r="CD32" s="148"/>
      <c r="CE32" s="146"/>
      <c r="CF32" s="147"/>
      <c r="CG32" s="148"/>
      <c r="CH32" s="146"/>
      <c r="CI32" s="147"/>
      <c r="CJ32" s="148"/>
      <c r="CK32" s="146"/>
      <c r="CL32" s="147"/>
      <c r="CM32" s="148"/>
      <c r="CN32" s="146"/>
      <c r="CO32" s="147"/>
      <c r="CP32" s="148"/>
      <c r="CQ32" s="146"/>
      <c r="CR32" s="147"/>
      <c r="CS32" s="148"/>
      <c r="CT32" s="146"/>
      <c r="CU32" s="147"/>
      <c r="CV32" s="148"/>
      <c r="CW32" s="146"/>
      <c r="CX32" s="147"/>
      <c r="CY32" s="148"/>
      <c r="CZ32" s="146"/>
      <c r="DA32" s="147"/>
      <c r="DB32" s="148"/>
      <c r="DC32" s="146"/>
      <c r="DD32" s="147"/>
      <c r="DE32" s="148"/>
      <c r="DF32" s="146"/>
      <c r="DG32" s="147"/>
      <c r="DH32" s="148"/>
      <c r="DI32" s="146"/>
      <c r="DJ32" s="147"/>
      <c r="DK32" s="148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15" customHeight="1" x14ac:dyDescent="0.3">
      <c r="A33" s="20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36"/>
      <c r="BE33" s="36"/>
      <c r="BF33" s="36"/>
      <c r="BG33" s="36"/>
      <c r="BH33" s="36"/>
      <c r="BI33" s="36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23" t="s">
        <v>65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59"/>
      <c r="BM34" s="56"/>
      <c r="BN34" s="56"/>
      <c r="BO34" s="56"/>
      <c r="BP34" s="142" t="s">
        <v>39</v>
      </c>
      <c r="BQ34" s="142"/>
      <c r="BR34" s="142"/>
      <c r="BS34" s="142"/>
      <c r="BT34" s="142"/>
      <c r="BU34" s="142"/>
      <c r="BV34" s="142"/>
      <c r="BW34" s="142"/>
      <c r="BX34" s="56"/>
      <c r="BY34" s="56"/>
      <c r="BZ34" s="56"/>
      <c r="CA34" s="56"/>
      <c r="CB34" s="149"/>
      <c r="CC34" s="149"/>
      <c r="CD34" s="149"/>
      <c r="CE34" s="149"/>
      <c r="CF34" s="149"/>
      <c r="CG34" s="149"/>
      <c r="CH34" s="149"/>
      <c r="CI34" s="149"/>
      <c r="CJ34" s="149"/>
      <c r="CK34" s="80"/>
      <c r="CL34" s="80"/>
      <c r="CM34" s="80"/>
      <c r="CN34" s="80"/>
      <c r="CO34" s="80"/>
      <c r="CP34" s="80"/>
      <c r="CQ34" s="80"/>
      <c r="CR34" s="80"/>
      <c r="CS34" s="80"/>
      <c r="CT34" s="80"/>
      <c r="CU34" s="80"/>
      <c r="CV34" s="80"/>
      <c r="CW34" s="80"/>
      <c r="CX34" s="80"/>
      <c r="CY34" s="80"/>
      <c r="CZ34" s="80"/>
      <c r="DA34" s="80"/>
      <c r="DB34" s="80"/>
      <c r="DC34" s="80"/>
      <c r="DD34" s="80"/>
      <c r="DE34" s="80"/>
      <c r="DF34" s="80"/>
      <c r="DG34" s="80"/>
      <c r="DH34" s="8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2" customHeight="1" x14ac:dyDescent="0.3">
      <c r="A35" s="20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0"/>
      <c r="BE35" s="20"/>
      <c r="BF35" s="20"/>
      <c r="BG35" s="20"/>
      <c r="BH35" s="20"/>
      <c r="BI35" s="20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27.75" customHeight="1" x14ac:dyDescent="0.3">
      <c r="A36" s="20"/>
      <c r="B36" s="115" t="s">
        <v>132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9" customHeight="1" x14ac:dyDescent="0.3">
      <c r="A37" s="20"/>
      <c r="B37" s="176" t="s">
        <v>133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  <c r="AO37" s="176"/>
      <c r="AP37" s="176"/>
      <c r="AQ37" s="176"/>
      <c r="AR37" s="176"/>
      <c r="AS37" s="176"/>
      <c r="AT37" s="176"/>
      <c r="AU37" s="176"/>
      <c r="AV37" s="176"/>
      <c r="AW37" s="176"/>
      <c r="AX37" s="176"/>
      <c r="AY37" s="176"/>
      <c r="AZ37" s="176"/>
      <c r="BA37" s="176"/>
      <c r="BB37" s="176"/>
      <c r="BC37" s="176"/>
      <c r="BD37" s="176"/>
      <c r="BE37" s="176"/>
      <c r="BF37" s="176"/>
      <c r="BG37" s="176"/>
      <c r="BH37" s="176"/>
      <c r="BI37" s="176"/>
      <c r="BJ37" s="176"/>
      <c r="BK37" s="176"/>
      <c r="BL37" s="176"/>
      <c r="BM37" s="176"/>
      <c r="BN37" s="176"/>
      <c r="BO37" s="176"/>
      <c r="BP37" s="142" t="s">
        <v>40</v>
      </c>
      <c r="BQ37" s="142"/>
      <c r="BR37" s="142"/>
      <c r="BS37" s="142"/>
      <c r="BT37" s="142"/>
      <c r="BU37" s="142"/>
      <c r="BV37" s="142"/>
      <c r="BW37" s="142"/>
      <c r="BX37" s="56"/>
      <c r="BY37" s="56"/>
      <c r="BZ37" s="56"/>
      <c r="CA37" s="56"/>
      <c r="CB37" s="143" t="s">
        <v>53</v>
      </c>
      <c r="CC37" s="144"/>
      <c r="CD37" s="145"/>
      <c r="CE37" s="143" t="s">
        <v>153</v>
      </c>
      <c r="CF37" s="144"/>
      <c r="CG37" s="145"/>
      <c r="CH37" s="143" t="s">
        <v>152</v>
      </c>
      <c r="CI37" s="144"/>
      <c r="CJ37" s="145"/>
      <c r="CK37" s="143" t="s">
        <v>43</v>
      </c>
      <c r="CL37" s="144"/>
      <c r="CM37" s="145"/>
      <c r="CN37" s="143" t="s">
        <v>153</v>
      </c>
      <c r="CO37" s="144"/>
      <c r="CP37" s="145"/>
      <c r="CQ37" s="143" t="s">
        <v>169</v>
      </c>
      <c r="CR37" s="144"/>
      <c r="CS37" s="145"/>
      <c r="CT37" s="143" t="s">
        <v>169</v>
      </c>
      <c r="CU37" s="144"/>
      <c r="CV37" s="145"/>
      <c r="CW37" s="143" t="s">
        <v>169</v>
      </c>
      <c r="CX37" s="144"/>
      <c r="CY37" s="145"/>
      <c r="CZ37" s="143" t="s">
        <v>169</v>
      </c>
      <c r="DA37" s="144"/>
      <c r="DB37" s="145"/>
      <c r="DC37" s="143" t="s">
        <v>169</v>
      </c>
      <c r="DD37" s="144"/>
      <c r="DE37" s="145"/>
      <c r="DF37" s="143" t="s">
        <v>169</v>
      </c>
      <c r="DG37" s="144"/>
      <c r="DH37" s="145"/>
      <c r="DI37" s="143" t="s">
        <v>169</v>
      </c>
      <c r="DJ37" s="144"/>
      <c r="DK37" s="145"/>
      <c r="DL37" s="51"/>
      <c r="DM37" s="51"/>
      <c r="DN37" s="51"/>
      <c r="DO37" s="51"/>
      <c r="DP37" s="51"/>
      <c r="DQ37" s="51"/>
      <c r="DR37" s="20"/>
      <c r="DS37" s="40"/>
      <c r="DT37" s="40"/>
      <c r="DU37" s="40"/>
      <c r="DV37" s="40"/>
      <c r="DW37" s="40"/>
      <c r="DX37" s="40"/>
      <c r="DY37" s="40"/>
    </row>
    <row r="38" spans="1:129" ht="9" customHeight="1" x14ac:dyDescent="0.3">
      <c r="A38" s="20"/>
      <c r="B38" s="176" t="s">
        <v>134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  <c r="AN38" s="176"/>
      <c r="AO38" s="176"/>
      <c r="AP38" s="176"/>
      <c r="AQ38" s="176"/>
      <c r="AR38" s="176"/>
      <c r="AS38" s="176"/>
      <c r="AT38" s="176"/>
      <c r="AU38" s="176"/>
      <c r="AV38" s="176"/>
      <c r="AW38" s="176"/>
      <c r="AX38" s="176"/>
      <c r="AY38" s="176"/>
      <c r="AZ38" s="176"/>
      <c r="BA38" s="176"/>
      <c r="BB38" s="176"/>
      <c r="BC38" s="176"/>
      <c r="BD38" s="176"/>
      <c r="BE38" s="176"/>
      <c r="BF38" s="176"/>
      <c r="BG38" s="176"/>
      <c r="BH38" s="176"/>
      <c r="BI38" s="176"/>
      <c r="BJ38" s="176"/>
      <c r="BK38" s="176"/>
      <c r="BL38" s="176"/>
      <c r="BM38" s="176"/>
      <c r="BN38" s="176"/>
      <c r="BO38" s="176"/>
      <c r="BP38" s="142"/>
      <c r="BQ38" s="142"/>
      <c r="BR38" s="142"/>
      <c r="BS38" s="142"/>
      <c r="BT38" s="142"/>
      <c r="BU38" s="142"/>
      <c r="BV38" s="142"/>
      <c r="BW38" s="142"/>
      <c r="BX38" s="56"/>
      <c r="BY38" s="56"/>
      <c r="BZ38" s="56"/>
      <c r="CA38" s="56"/>
      <c r="CB38" s="146"/>
      <c r="CC38" s="147"/>
      <c r="CD38" s="148"/>
      <c r="CE38" s="146"/>
      <c r="CF38" s="147"/>
      <c r="CG38" s="148"/>
      <c r="CH38" s="146"/>
      <c r="CI38" s="147"/>
      <c r="CJ38" s="148"/>
      <c r="CK38" s="146"/>
      <c r="CL38" s="147"/>
      <c r="CM38" s="148"/>
      <c r="CN38" s="146"/>
      <c r="CO38" s="147"/>
      <c r="CP38" s="148"/>
      <c r="CQ38" s="146"/>
      <c r="CR38" s="147"/>
      <c r="CS38" s="148"/>
      <c r="CT38" s="146"/>
      <c r="CU38" s="147"/>
      <c r="CV38" s="148"/>
      <c r="CW38" s="146"/>
      <c r="CX38" s="147"/>
      <c r="CY38" s="148"/>
      <c r="CZ38" s="146"/>
      <c r="DA38" s="147"/>
      <c r="DB38" s="148"/>
      <c r="DC38" s="146"/>
      <c r="DD38" s="147"/>
      <c r="DE38" s="148"/>
      <c r="DF38" s="146"/>
      <c r="DG38" s="147"/>
      <c r="DH38" s="148"/>
      <c r="DI38" s="146"/>
      <c r="DJ38" s="147"/>
      <c r="DK38" s="148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9.9" customHeight="1" x14ac:dyDescent="0.3">
      <c r="A39" s="20"/>
      <c r="B39" s="176" t="s">
        <v>135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  <c r="AP39" s="176"/>
      <c r="AQ39" s="176"/>
      <c r="AR39" s="176"/>
      <c r="AS39" s="176"/>
      <c r="AT39" s="176"/>
      <c r="AU39" s="176"/>
      <c r="AV39" s="176"/>
      <c r="AW39" s="176"/>
      <c r="AX39" s="176"/>
      <c r="AY39" s="176"/>
      <c r="AZ39" s="176"/>
      <c r="BA39" s="176"/>
      <c r="BB39" s="176"/>
      <c r="BC39" s="176"/>
      <c r="BD39" s="176"/>
      <c r="BE39" s="176"/>
      <c r="BF39" s="176"/>
      <c r="BG39" s="176"/>
      <c r="BH39" s="176"/>
      <c r="BI39" s="176"/>
      <c r="BJ39" s="176"/>
      <c r="BK39" s="176"/>
      <c r="BL39" s="176"/>
      <c r="BM39" s="176"/>
      <c r="BN39" s="176"/>
      <c r="BO39" s="176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20"/>
      <c r="DS39" s="40"/>
      <c r="DT39" s="40"/>
      <c r="DU39" s="40"/>
      <c r="DV39" s="40"/>
      <c r="DW39" s="40"/>
      <c r="DX39" s="40"/>
      <c r="DY39" s="40"/>
    </row>
    <row r="40" spans="1:129" ht="15" customHeight="1" x14ac:dyDescent="0.3">
      <c r="A40" s="20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55"/>
      <c r="BC40" s="55"/>
      <c r="BD40" s="55"/>
      <c r="BE40" s="55"/>
      <c r="BF40" s="55"/>
      <c r="BG40" s="55"/>
      <c r="BH40" s="55"/>
      <c r="BI40" s="55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37"/>
      <c r="CI40" s="37"/>
      <c r="CJ40" s="37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25.5" customHeight="1" x14ac:dyDescent="0.3">
      <c r="A41" s="20"/>
      <c r="B41" s="177" t="s">
        <v>136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  <c r="AO41" s="177"/>
      <c r="AP41" s="177"/>
      <c r="AQ41" s="177"/>
      <c r="AR41" s="177"/>
      <c r="AS41" s="177"/>
      <c r="AT41" s="177"/>
      <c r="AU41" s="177"/>
      <c r="AV41" s="177"/>
      <c r="AW41" s="177"/>
      <c r="AX41" s="177"/>
      <c r="AY41" s="177"/>
      <c r="AZ41" s="177"/>
      <c r="BA41" s="177"/>
      <c r="BB41" s="177"/>
      <c r="BC41" s="177"/>
      <c r="BD41" s="177"/>
      <c r="BE41" s="177"/>
      <c r="BF41" s="177"/>
      <c r="BG41" s="177"/>
      <c r="BH41" s="177"/>
      <c r="BI41" s="177"/>
      <c r="BJ41" s="177"/>
      <c r="BK41" s="177"/>
      <c r="BL41" s="177"/>
      <c r="BM41" s="177"/>
      <c r="BN41" s="177"/>
      <c r="BO41" s="177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  <c r="DV41" s="40"/>
      <c r="DW41" s="40"/>
      <c r="DX41" s="40"/>
      <c r="DY41" s="40"/>
    </row>
    <row r="42" spans="1:129" ht="9" customHeight="1" x14ac:dyDescent="0.3">
      <c r="A42" s="20"/>
      <c r="B42" s="170" t="s">
        <v>137</v>
      </c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  <c r="U42" s="170"/>
      <c r="V42" s="170"/>
      <c r="W42" s="170"/>
      <c r="X42" s="170"/>
      <c r="Y42" s="170"/>
      <c r="Z42" s="170"/>
      <c r="AA42" s="170"/>
      <c r="AB42" s="170"/>
      <c r="AC42" s="170"/>
      <c r="AD42" s="170"/>
      <c r="AE42" s="170"/>
      <c r="AF42" s="170"/>
      <c r="AG42" s="170"/>
      <c r="AH42" s="170"/>
      <c r="AI42" s="170"/>
      <c r="AJ42" s="170"/>
      <c r="AK42" s="170"/>
      <c r="AL42" s="170"/>
      <c r="AM42" s="170"/>
      <c r="AN42" s="170"/>
      <c r="AO42" s="170"/>
      <c r="AP42" s="170"/>
      <c r="AQ42" s="170"/>
      <c r="AR42" s="170"/>
      <c r="AS42" s="170"/>
      <c r="AT42" s="170"/>
      <c r="AU42" s="170"/>
      <c r="AV42" s="170"/>
      <c r="AW42" s="170"/>
      <c r="AX42" s="170"/>
      <c r="AY42" s="170"/>
      <c r="AZ42" s="170"/>
      <c r="BA42" s="170"/>
      <c r="BB42" s="170"/>
      <c r="BC42" s="170"/>
      <c r="BD42" s="170"/>
      <c r="BE42" s="170"/>
      <c r="BF42" s="170"/>
      <c r="BG42" s="170"/>
      <c r="BH42" s="170"/>
      <c r="BI42" s="170"/>
      <c r="BJ42" s="170"/>
      <c r="BK42" s="170"/>
      <c r="BL42" s="170"/>
      <c r="BM42" s="170"/>
      <c r="BN42" s="170"/>
      <c r="BO42" s="170"/>
      <c r="BP42" s="142" t="s">
        <v>41</v>
      </c>
      <c r="BQ42" s="142"/>
      <c r="BR42" s="142"/>
      <c r="BS42" s="142"/>
      <c r="BT42" s="142"/>
      <c r="BU42" s="142"/>
      <c r="BV42" s="142"/>
      <c r="BW42" s="142"/>
      <c r="BX42" s="56"/>
      <c r="BY42" s="56"/>
      <c r="BZ42" s="56"/>
      <c r="CA42" s="56"/>
      <c r="CB42" s="143"/>
      <c r="CC42" s="144"/>
      <c r="CD42" s="145"/>
      <c r="CE42" s="143"/>
      <c r="CF42" s="144"/>
      <c r="CG42" s="145"/>
      <c r="CH42" s="143"/>
      <c r="CI42" s="144"/>
      <c r="CJ42" s="145"/>
      <c r="CK42" s="143"/>
      <c r="CL42" s="144"/>
      <c r="CM42" s="145"/>
      <c r="CN42" s="143"/>
      <c r="CO42" s="144"/>
      <c r="CP42" s="145"/>
      <c r="CQ42" s="143"/>
      <c r="CR42" s="144"/>
      <c r="CS42" s="145"/>
      <c r="CT42" s="143"/>
      <c r="CU42" s="144"/>
      <c r="CV42" s="145"/>
      <c r="CW42" s="143"/>
      <c r="CX42" s="144"/>
      <c r="CY42" s="145"/>
      <c r="CZ42" s="143"/>
      <c r="DA42" s="144"/>
      <c r="DB42" s="145"/>
      <c r="DC42" s="143"/>
      <c r="DD42" s="144"/>
      <c r="DE42" s="145"/>
      <c r="DF42" s="143"/>
      <c r="DG42" s="144"/>
      <c r="DH42" s="145"/>
      <c r="DI42" s="143"/>
      <c r="DJ42" s="144"/>
      <c r="DK42" s="145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9" customHeight="1" x14ac:dyDescent="0.3">
      <c r="A43" s="20"/>
      <c r="B43" s="178" t="s">
        <v>138</v>
      </c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  <c r="AQ43" s="178"/>
      <c r="AR43" s="178"/>
      <c r="AS43" s="178"/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8"/>
      <c r="BE43" s="178"/>
      <c r="BF43" s="178"/>
      <c r="BG43" s="178"/>
      <c r="BH43" s="178"/>
      <c r="BI43" s="178"/>
      <c r="BJ43" s="178"/>
      <c r="BK43" s="178"/>
      <c r="BL43" s="178"/>
      <c r="BM43" s="178"/>
      <c r="BN43" s="178"/>
      <c r="BO43" s="178"/>
      <c r="BP43" s="142"/>
      <c r="BQ43" s="142"/>
      <c r="BR43" s="142"/>
      <c r="BS43" s="142"/>
      <c r="BT43" s="142"/>
      <c r="BU43" s="142"/>
      <c r="BV43" s="142"/>
      <c r="BW43" s="142"/>
      <c r="BX43" s="56"/>
      <c r="BY43" s="56"/>
      <c r="BZ43" s="56"/>
      <c r="CA43" s="56"/>
      <c r="CB43" s="146"/>
      <c r="CC43" s="147"/>
      <c r="CD43" s="148"/>
      <c r="CE43" s="146"/>
      <c r="CF43" s="147"/>
      <c r="CG43" s="148"/>
      <c r="CH43" s="146"/>
      <c r="CI43" s="147"/>
      <c r="CJ43" s="148"/>
      <c r="CK43" s="146"/>
      <c r="CL43" s="147"/>
      <c r="CM43" s="148"/>
      <c r="CN43" s="146"/>
      <c r="CO43" s="147"/>
      <c r="CP43" s="148"/>
      <c r="CQ43" s="146"/>
      <c r="CR43" s="147"/>
      <c r="CS43" s="148"/>
      <c r="CT43" s="146"/>
      <c r="CU43" s="147"/>
      <c r="CV43" s="148"/>
      <c r="CW43" s="146"/>
      <c r="CX43" s="147"/>
      <c r="CY43" s="148"/>
      <c r="CZ43" s="146"/>
      <c r="DA43" s="147"/>
      <c r="DB43" s="148"/>
      <c r="DC43" s="146"/>
      <c r="DD43" s="147"/>
      <c r="DE43" s="148"/>
      <c r="DF43" s="146"/>
      <c r="DG43" s="147"/>
      <c r="DH43" s="148"/>
      <c r="DI43" s="146"/>
      <c r="DJ43" s="147"/>
      <c r="DK43" s="148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15" customHeight="1" x14ac:dyDescent="0.3">
      <c r="A44" s="20"/>
      <c r="B44" s="66" t="s">
        <v>139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  <c r="DV44" s="40"/>
      <c r="DW44" s="40"/>
      <c r="DX44" s="40"/>
      <c r="DY44" s="40"/>
    </row>
    <row r="45" spans="1:129" ht="18" customHeight="1" x14ac:dyDescent="0.3">
      <c r="A45" s="20"/>
      <c r="B45" s="23" t="s">
        <v>65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59"/>
      <c r="BM45" s="56"/>
      <c r="BN45" s="56"/>
      <c r="BO45" s="56"/>
      <c r="BP45" s="142" t="s">
        <v>42</v>
      </c>
      <c r="BQ45" s="142"/>
      <c r="BR45" s="142"/>
      <c r="BS45" s="142"/>
      <c r="BT45" s="142"/>
      <c r="BU45" s="142"/>
      <c r="BV45" s="142"/>
      <c r="BW45" s="142"/>
      <c r="BX45" s="56"/>
      <c r="BY45" s="56"/>
      <c r="BZ45" s="56"/>
      <c r="CA45" s="56"/>
      <c r="CB45" s="149"/>
      <c r="CC45" s="149"/>
      <c r="CD45" s="149"/>
      <c r="CE45" s="149"/>
      <c r="CF45" s="149"/>
      <c r="CG45" s="149"/>
      <c r="CH45" s="149"/>
      <c r="CI45" s="149"/>
      <c r="CJ45" s="149"/>
      <c r="CK45" s="80"/>
      <c r="CL45" s="80"/>
      <c r="CM45" s="80"/>
      <c r="CN45" s="80"/>
      <c r="CO45" s="80"/>
      <c r="CP45" s="80"/>
      <c r="CQ45" s="80"/>
      <c r="CR45" s="80"/>
      <c r="CS45" s="80"/>
      <c r="CT45" s="80"/>
      <c r="CU45" s="80"/>
      <c r="CV45" s="80"/>
      <c r="CW45" s="80"/>
      <c r="CX45" s="80"/>
      <c r="CY45" s="80"/>
      <c r="CZ45" s="80"/>
      <c r="DA45" s="80"/>
      <c r="DB45" s="80"/>
      <c r="DC45" s="80"/>
      <c r="DD45" s="80"/>
      <c r="DE45" s="80"/>
      <c r="DF45" s="80"/>
      <c r="DG45" s="80"/>
      <c r="DH45" s="80"/>
      <c r="DI45" s="15"/>
      <c r="DJ45" s="15"/>
      <c r="DK45" s="15"/>
      <c r="DL45" s="15"/>
      <c r="DM45" s="15"/>
      <c r="DN45" s="15"/>
      <c r="DO45" s="15"/>
      <c r="DP45" s="15"/>
      <c r="DQ45" s="15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0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20"/>
      <c r="DS46" s="40"/>
      <c r="DT46" s="40"/>
      <c r="DU46" s="40"/>
      <c r="DV46" s="40"/>
      <c r="DW46" s="40"/>
      <c r="DX46" s="40"/>
      <c r="DY46" s="40"/>
    </row>
    <row r="47" spans="1:129" ht="9.9" customHeight="1" x14ac:dyDescent="0.3">
      <c r="A47" s="20"/>
      <c r="B47" s="179" t="s">
        <v>70</v>
      </c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79"/>
      <c r="Y47" s="179"/>
      <c r="Z47" s="179"/>
      <c r="AA47" s="179"/>
      <c r="AB47" s="179"/>
      <c r="AC47" s="179"/>
      <c r="AD47" s="179"/>
      <c r="AE47" s="179"/>
      <c r="AF47" s="179"/>
      <c r="AG47" s="179"/>
      <c r="AH47" s="179"/>
      <c r="AI47" s="179"/>
      <c r="AJ47" s="179"/>
      <c r="AK47" s="179"/>
      <c r="AL47" s="179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79"/>
      <c r="AX47" s="179"/>
      <c r="AY47" s="179"/>
      <c r="AZ47" s="179"/>
      <c r="BA47" s="179"/>
      <c r="BB47" s="179"/>
      <c r="BC47" s="179"/>
      <c r="BD47" s="179"/>
      <c r="BE47" s="179"/>
      <c r="BF47" s="179"/>
      <c r="BG47" s="179"/>
      <c r="BH47" s="179"/>
      <c r="BI47" s="179"/>
      <c r="BJ47" s="179"/>
      <c r="BK47" s="179"/>
      <c r="BL47" s="179"/>
      <c r="BM47" s="179"/>
      <c r="BN47" s="179"/>
      <c r="BO47" s="179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79" t="s">
        <v>71</v>
      </c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/>
      <c r="W48" s="179"/>
      <c r="X48" s="179"/>
      <c r="Y48" s="179"/>
      <c r="Z48" s="179"/>
      <c r="AA48" s="179"/>
      <c r="AB48" s="179"/>
      <c r="AC48" s="179"/>
      <c r="AD48" s="179"/>
      <c r="AE48" s="179"/>
      <c r="AF48" s="179"/>
      <c r="AG48" s="179"/>
      <c r="AH48" s="179"/>
      <c r="AI48" s="179"/>
      <c r="AJ48" s="179"/>
      <c r="AK48" s="179"/>
      <c r="AL48" s="17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79"/>
      <c r="BN48" s="179"/>
      <c r="BO48" s="179"/>
      <c r="BP48" s="142" t="s">
        <v>72</v>
      </c>
      <c r="BQ48" s="142"/>
      <c r="BR48" s="142"/>
      <c r="BS48" s="142"/>
      <c r="BT48" s="142"/>
      <c r="BU48" s="142"/>
      <c r="BV48" s="142"/>
      <c r="BW48" s="142"/>
      <c r="BX48" s="56"/>
      <c r="BY48" s="56"/>
      <c r="BZ48" s="56"/>
      <c r="CA48" s="56"/>
      <c r="CB48" s="143" t="s">
        <v>53</v>
      </c>
      <c r="CC48" s="144"/>
      <c r="CD48" s="145"/>
      <c r="CE48" s="143" t="s">
        <v>151</v>
      </c>
      <c r="CF48" s="144"/>
      <c r="CG48" s="145"/>
      <c r="CH48" s="143" t="s">
        <v>55</v>
      </c>
      <c r="CI48" s="144"/>
      <c r="CJ48" s="145"/>
      <c r="CK48" s="143" t="s">
        <v>153</v>
      </c>
      <c r="CL48" s="144"/>
      <c r="CM48" s="145"/>
      <c r="CN48" s="143" t="s">
        <v>151</v>
      </c>
      <c r="CO48" s="144"/>
      <c r="CP48" s="145"/>
      <c r="CQ48" s="143" t="s">
        <v>169</v>
      </c>
      <c r="CR48" s="144"/>
      <c r="CS48" s="145"/>
      <c r="CT48" s="143" t="s">
        <v>169</v>
      </c>
      <c r="CU48" s="144"/>
      <c r="CV48" s="145"/>
      <c r="CW48" s="143" t="s">
        <v>169</v>
      </c>
      <c r="CX48" s="144"/>
      <c r="CY48" s="145"/>
      <c r="CZ48" s="143" t="s">
        <v>169</v>
      </c>
      <c r="DA48" s="144"/>
      <c r="DB48" s="145"/>
      <c r="DC48" s="143" t="s">
        <v>169</v>
      </c>
      <c r="DD48" s="144"/>
      <c r="DE48" s="145"/>
      <c r="DF48" s="143" t="s">
        <v>169</v>
      </c>
      <c r="DG48" s="144"/>
      <c r="DH48" s="145"/>
      <c r="DI48" s="143" t="s">
        <v>169</v>
      </c>
      <c r="DJ48" s="144"/>
      <c r="DK48" s="145"/>
      <c r="DL48" s="15"/>
      <c r="DM48" s="15"/>
      <c r="DN48" s="15"/>
      <c r="DO48" s="15"/>
      <c r="DP48" s="15"/>
      <c r="DQ48" s="15"/>
      <c r="DR48" s="20"/>
      <c r="DS48" s="40"/>
      <c r="DT48" s="40"/>
      <c r="DU48" s="40"/>
      <c r="DV48" s="40"/>
      <c r="DW48" s="40"/>
      <c r="DX48" s="40"/>
      <c r="DY48" s="40"/>
    </row>
    <row r="49" spans="1:129" ht="9" customHeight="1" x14ac:dyDescent="0.3">
      <c r="A49" s="20"/>
      <c r="B49" s="180" t="s">
        <v>142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L49" s="180"/>
      <c r="BM49" s="180"/>
      <c r="BN49" s="180"/>
      <c r="BO49" s="180"/>
      <c r="BP49" s="142"/>
      <c r="BQ49" s="142"/>
      <c r="BR49" s="142"/>
      <c r="BS49" s="142"/>
      <c r="BT49" s="142"/>
      <c r="BU49" s="142"/>
      <c r="BV49" s="142"/>
      <c r="BW49" s="142"/>
      <c r="BX49" s="56"/>
      <c r="BY49" s="56"/>
      <c r="BZ49" s="56"/>
      <c r="CA49" s="56"/>
      <c r="CB49" s="146"/>
      <c r="CC49" s="147"/>
      <c r="CD49" s="148"/>
      <c r="CE49" s="146"/>
      <c r="CF49" s="147"/>
      <c r="CG49" s="148"/>
      <c r="CH49" s="146"/>
      <c r="CI49" s="147"/>
      <c r="CJ49" s="148"/>
      <c r="CK49" s="146"/>
      <c r="CL49" s="147"/>
      <c r="CM49" s="148"/>
      <c r="CN49" s="146"/>
      <c r="CO49" s="147"/>
      <c r="CP49" s="148"/>
      <c r="CQ49" s="146"/>
      <c r="CR49" s="147"/>
      <c r="CS49" s="148"/>
      <c r="CT49" s="146"/>
      <c r="CU49" s="147"/>
      <c r="CV49" s="148"/>
      <c r="CW49" s="146"/>
      <c r="CX49" s="147"/>
      <c r="CY49" s="148"/>
      <c r="CZ49" s="146"/>
      <c r="DA49" s="147"/>
      <c r="DB49" s="148"/>
      <c r="DC49" s="146"/>
      <c r="DD49" s="147"/>
      <c r="DE49" s="148"/>
      <c r="DF49" s="146"/>
      <c r="DG49" s="147"/>
      <c r="DH49" s="148"/>
      <c r="DI49" s="146"/>
      <c r="DJ49" s="147"/>
      <c r="DK49" s="148"/>
      <c r="DL49" s="6"/>
      <c r="DM49" s="6"/>
      <c r="DN49" s="6"/>
      <c r="DO49" s="33"/>
      <c r="DP49" s="33"/>
      <c r="DQ49" s="33"/>
      <c r="DR49" s="20"/>
      <c r="DS49" s="40"/>
      <c r="DT49" s="40"/>
      <c r="DU49" s="40"/>
      <c r="DV49" s="40"/>
      <c r="DW49" s="40"/>
      <c r="DX49" s="40"/>
      <c r="DY49" s="40"/>
    </row>
    <row r="50" spans="1:129" ht="9.9" customHeight="1" x14ac:dyDescent="0.3">
      <c r="A50" s="20"/>
      <c r="B50" s="180" t="s">
        <v>140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L50" s="180"/>
      <c r="BM50" s="180"/>
      <c r="BN50" s="180"/>
      <c r="BO50" s="180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33"/>
      <c r="DP50" s="33"/>
      <c r="DQ50" s="33"/>
      <c r="DR50" s="20"/>
      <c r="DS50" s="40"/>
      <c r="DT50" s="40"/>
      <c r="DU50" s="40"/>
      <c r="DV50" s="40"/>
      <c r="DW50" s="40"/>
      <c r="DX50" s="40"/>
      <c r="DY50" s="40"/>
    </row>
    <row r="51" spans="1:129" ht="21" customHeight="1" x14ac:dyDescent="0.3">
      <c r="A51" s="20"/>
      <c r="B51" s="181" t="s">
        <v>141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1"/>
      <c r="AJ51" s="181"/>
      <c r="AK51" s="181"/>
      <c r="AL51" s="181"/>
      <c r="AM51" s="181"/>
      <c r="AN51" s="181"/>
      <c r="AO51" s="181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G51" s="181"/>
      <c r="BH51" s="181"/>
      <c r="BI51" s="181"/>
      <c r="BJ51" s="181"/>
      <c r="BK51" s="181"/>
      <c r="BL51" s="181"/>
      <c r="BM51" s="181"/>
      <c r="BN51" s="181"/>
      <c r="BO51" s="181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33"/>
      <c r="DP51" s="33"/>
      <c r="DQ51" s="33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60"/>
      <c r="C52" s="60"/>
      <c r="D52" s="3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33"/>
      <c r="DP52" s="33"/>
      <c r="DQ52" s="33"/>
      <c r="DR52" s="20"/>
      <c r="DS52" s="40"/>
      <c r="DT52" s="40"/>
      <c r="DU52" s="40"/>
      <c r="DV52" s="40"/>
      <c r="DW52" s="40"/>
      <c r="DX52" s="40"/>
      <c r="DY52" s="40"/>
    </row>
    <row r="53" spans="1:129" ht="23.25" customHeight="1" x14ac:dyDescent="0.3">
      <c r="A53" s="20"/>
      <c r="B53" s="177" t="s">
        <v>143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77"/>
      <c r="AJ53" s="177"/>
      <c r="AK53" s="177"/>
      <c r="AL53" s="177"/>
      <c r="AM53" s="177"/>
      <c r="AN53" s="177"/>
      <c r="AO53" s="177"/>
      <c r="AP53" s="177"/>
      <c r="AQ53" s="177"/>
      <c r="AR53" s="177"/>
      <c r="AS53" s="177"/>
      <c r="AT53" s="177"/>
      <c r="AU53" s="177"/>
      <c r="AV53" s="177"/>
      <c r="AW53" s="177"/>
      <c r="AX53" s="177"/>
      <c r="AY53" s="177"/>
      <c r="AZ53" s="177"/>
      <c r="BA53" s="177"/>
      <c r="BB53" s="177"/>
      <c r="BC53" s="177"/>
      <c r="BD53" s="177"/>
      <c r="BE53" s="177"/>
      <c r="BF53" s="177"/>
      <c r="BG53" s="177"/>
      <c r="BH53" s="177"/>
      <c r="BI53" s="177"/>
      <c r="BJ53" s="177"/>
      <c r="BK53" s="177"/>
      <c r="BL53" s="177"/>
      <c r="BM53" s="177"/>
      <c r="BN53" s="177"/>
      <c r="BO53" s="177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33"/>
      <c r="DP53" s="33"/>
      <c r="DQ53" s="33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80" t="s">
        <v>145</v>
      </c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  <c r="AU54" s="180"/>
      <c r="AV54" s="180"/>
      <c r="AW54" s="180"/>
      <c r="AX54" s="180"/>
      <c r="AY54" s="180"/>
      <c r="AZ54" s="180"/>
      <c r="BA54" s="180"/>
      <c r="BB54" s="180"/>
      <c r="BC54" s="180"/>
      <c r="BD54" s="180"/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42" t="s">
        <v>73</v>
      </c>
      <c r="BQ54" s="142"/>
      <c r="BR54" s="142"/>
      <c r="BS54" s="142"/>
      <c r="BT54" s="142"/>
      <c r="BU54" s="142"/>
      <c r="BV54" s="142"/>
      <c r="BW54" s="142"/>
      <c r="BX54" s="56"/>
      <c r="BY54" s="56"/>
      <c r="BZ54" s="56"/>
      <c r="CA54" s="56"/>
      <c r="CB54" s="143"/>
      <c r="CC54" s="144"/>
      <c r="CD54" s="145"/>
      <c r="CE54" s="143"/>
      <c r="CF54" s="144"/>
      <c r="CG54" s="145"/>
      <c r="CH54" s="143"/>
      <c r="CI54" s="144"/>
      <c r="CJ54" s="145"/>
      <c r="CK54" s="143"/>
      <c r="CL54" s="144"/>
      <c r="CM54" s="145"/>
      <c r="CN54" s="143"/>
      <c r="CO54" s="144"/>
      <c r="CP54" s="145"/>
      <c r="CQ54" s="143"/>
      <c r="CR54" s="144"/>
      <c r="CS54" s="145"/>
      <c r="CT54" s="143"/>
      <c r="CU54" s="144"/>
      <c r="CV54" s="145"/>
      <c r="CW54" s="143"/>
      <c r="CX54" s="144"/>
      <c r="CY54" s="145"/>
      <c r="CZ54" s="143"/>
      <c r="DA54" s="144"/>
      <c r="DB54" s="145"/>
      <c r="DC54" s="143"/>
      <c r="DD54" s="144"/>
      <c r="DE54" s="145"/>
      <c r="DF54" s="143"/>
      <c r="DG54" s="144"/>
      <c r="DH54" s="145"/>
      <c r="DI54" s="143"/>
      <c r="DJ54" s="144"/>
      <c r="DK54" s="145"/>
      <c r="DL54" s="6"/>
      <c r="DM54" s="6"/>
      <c r="DN54" s="6"/>
      <c r="DO54" s="33"/>
      <c r="DP54" s="33"/>
      <c r="DQ54" s="33"/>
      <c r="DR54" s="20"/>
      <c r="DS54" s="40"/>
      <c r="DT54" s="40"/>
      <c r="DU54" s="40"/>
      <c r="DV54" s="40"/>
      <c r="DW54" s="40"/>
      <c r="DX54" s="40"/>
      <c r="DY54" s="40"/>
    </row>
    <row r="55" spans="1:129" ht="9" customHeight="1" x14ac:dyDescent="0.3">
      <c r="A55" s="20"/>
      <c r="B55" s="180" t="s">
        <v>146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  <c r="AY55" s="180"/>
      <c r="AZ55" s="180"/>
      <c r="BA55" s="180"/>
      <c r="BB55" s="180"/>
      <c r="BC55" s="180"/>
      <c r="BD55" s="180"/>
      <c r="BE55" s="180"/>
      <c r="BF55" s="180"/>
      <c r="BG55" s="180"/>
      <c r="BH55" s="180"/>
      <c r="BI55" s="180"/>
      <c r="BJ55" s="180"/>
      <c r="BK55" s="180"/>
      <c r="BL55" s="180"/>
      <c r="BM55" s="180"/>
      <c r="BN55" s="180"/>
      <c r="BO55" s="180"/>
      <c r="BP55" s="142"/>
      <c r="BQ55" s="142"/>
      <c r="BR55" s="142"/>
      <c r="BS55" s="142"/>
      <c r="BT55" s="142"/>
      <c r="BU55" s="142"/>
      <c r="BV55" s="142"/>
      <c r="BW55" s="142"/>
      <c r="BX55" s="56"/>
      <c r="BY55" s="56"/>
      <c r="BZ55" s="56"/>
      <c r="CA55" s="56"/>
      <c r="CB55" s="146"/>
      <c r="CC55" s="147"/>
      <c r="CD55" s="148"/>
      <c r="CE55" s="146"/>
      <c r="CF55" s="147"/>
      <c r="CG55" s="148"/>
      <c r="CH55" s="146"/>
      <c r="CI55" s="147"/>
      <c r="CJ55" s="148"/>
      <c r="CK55" s="146"/>
      <c r="CL55" s="147"/>
      <c r="CM55" s="148"/>
      <c r="CN55" s="146"/>
      <c r="CO55" s="147"/>
      <c r="CP55" s="148"/>
      <c r="CQ55" s="146"/>
      <c r="CR55" s="147"/>
      <c r="CS55" s="148"/>
      <c r="CT55" s="146"/>
      <c r="CU55" s="147"/>
      <c r="CV55" s="148"/>
      <c r="CW55" s="146"/>
      <c r="CX55" s="147"/>
      <c r="CY55" s="148"/>
      <c r="CZ55" s="146"/>
      <c r="DA55" s="147"/>
      <c r="DB55" s="148"/>
      <c r="DC55" s="146"/>
      <c r="DD55" s="147"/>
      <c r="DE55" s="148"/>
      <c r="DF55" s="146"/>
      <c r="DG55" s="147"/>
      <c r="DH55" s="148"/>
      <c r="DI55" s="146"/>
      <c r="DJ55" s="147"/>
      <c r="DK55" s="148"/>
      <c r="DL55" s="6"/>
      <c r="DM55" s="6"/>
      <c r="DN55" s="6"/>
      <c r="DO55" s="33"/>
      <c r="DP55" s="33"/>
      <c r="DQ55" s="33"/>
      <c r="DR55" s="20"/>
      <c r="DS55" s="40"/>
      <c r="DT55" s="40"/>
      <c r="DU55" s="40"/>
      <c r="DV55" s="40"/>
      <c r="DW55" s="40"/>
      <c r="DX55" s="40"/>
      <c r="DY55" s="40"/>
    </row>
    <row r="56" spans="1:129" ht="9.9" customHeight="1" x14ac:dyDescent="0.3">
      <c r="A56" s="20"/>
      <c r="B56" s="181" t="s">
        <v>144</v>
      </c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181"/>
      <c r="AJ56" s="181"/>
      <c r="AK56" s="181"/>
      <c r="AL56" s="181"/>
      <c r="AM56" s="181"/>
      <c r="AN56" s="181"/>
      <c r="AO56" s="181"/>
      <c r="AP56" s="181"/>
      <c r="AQ56" s="181"/>
      <c r="AR56" s="181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  <c r="BE56" s="181"/>
      <c r="BF56" s="181"/>
      <c r="BG56" s="181"/>
      <c r="BH56" s="181"/>
      <c r="BI56" s="181"/>
      <c r="BJ56" s="181"/>
      <c r="BK56" s="181"/>
      <c r="BL56" s="181"/>
      <c r="BM56" s="181"/>
      <c r="BN56" s="181"/>
      <c r="BO56" s="181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33"/>
      <c r="DP56" s="33"/>
      <c r="DQ56" s="33"/>
      <c r="DR56" s="20"/>
      <c r="DS56" s="40"/>
      <c r="DT56" s="40"/>
      <c r="DU56" s="40"/>
      <c r="DV56" s="40"/>
      <c r="DW56" s="40"/>
      <c r="DX56" s="40"/>
      <c r="DY56" s="40"/>
    </row>
    <row r="57" spans="1:129" ht="12.45" x14ac:dyDescent="0.3">
      <c r="A57" s="20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1"/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81"/>
      <c r="BK57" s="181"/>
      <c r="BL57" s="181"/>
      <c r="BM57" s="181"/>
      <c r="BN57" s="181"/>
      <c r="BO57" s="181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33"/>
      <c r="DP57" s="33"/>
      <c r="DQ57" s="33"/>
      <c r="DR57" s="20"/>
      <c r="DS57" s="40"/>
      <c r="DT57" s="40"/>
      <c r="DU57" s="40"/>
      <c r="DV57" s="40"/>
      <c r="DW57" s="40"/>
      <c r="DX57" s="40"/>
      <c r="DY57" s="40"/>
    </row>
    <row r="58" spans="1:129" ht="12.45" x14ac:dyDescent="0.3">
      <c r="A58" s="20"/>
      <c r="B58" s="60"/>
      <c r="C58" s="60"/>
      <c r="D58" s="33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33"/>
      <c r="DP58" s="33"/>
      <c r="DQ58" s="33"/>
      <c r="DR58" s="20"/>
      <c r="DS58" s="40"/>
      <c r="DT58" s="40"/>
      <c r="DU58" s="40"/>
      <c r="DV58" s="40"/>
      <c r="DW58" s="40"/>
      <c r="DX58" s="40"/>
      <c r="DY58" s="40"/>
    </row>
    <row r="59" spans="1:129" ht="12.45" x14ac:dyDescent="0.3">
      <c r="A59" s="20"/>
      <c r="B59" s="60"/>
      <c r="C59" s="60"/>
      <c r="D59" s="33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33"/>
      <c r="DP59" s="33"/>
      <c r="DQ59" s="33"/>
      <c r="DR59" s="20"/>
      <c r="DS59" s="40"/>
      <c r="DT59" s="40"/>
      <c r="DU59" s="40"/>
      <c r="DV59" s="40"/>
      <c r="DW59" s="40"/>
      <c r="DX59" s="40"/>
      <c r="DY59" s="40"/>
    </row>
    <row r="60" spans="1:129" ht="12.45" x14ac:dyDescent="0.3">
      <c r="A60" s="20"/>
      <c r="B60" s="60"/>
      <c r="C60" s="60"/>
      <c r="D60" s="33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33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.45" x14ac:dyDescent="0.3">
      <c r="A61" s="20"/>
      <c r="B61" s="60"/>
      <c r="C61" s="60"/>
      <c r="D61" s="33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33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.45" x14ac:dyDescent="0.3">
      <c r="A62" s="20"/>
      <c r="B62" s="60"/>
      <c r="C62" s="60"/>
      <c r="D62" s="33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33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2.45" x14ac:dyDescent="0.3">
      <c r="A63" s="20"/>
      <c r="B63" s="60"/>
      <c r="C63" s="60"/>
      <c r="D63" s="33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33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12.45" x14ac:dyDescent="0.3">
      <c r="A64" s="20"/>
      <c r="B64" s="60"/>
      <c r="C64" s="60"/>
      <c r="D64" s="33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33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12.45" x14ac:dyDescent="0.3">
      <c r="A65" s="20"/>
      <c r="B65" s="60"/>
      <c r="C65" s="60"/>
      <c r="D65" s="33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33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12.45" x14ac:dyDescent="0.3">
      <c r="A66" s="20"/>
      <c r="B66" s="60"/>
      <c r="C66" s="60"/>
      <c r="D66" s="33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33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2.45" x14ac:dyDescent="0.3">
      <c r="A67" s="20"/>
      <c r="B67" s="60"/>
      <c r="C67" s="60"/>
      <c r="D67" s="33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33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12.45" x14ac:dyDescent="0.3">
      <c r="A68" s="20"/>
      <c r="B68" s="60"/>
      <c r="C68" s="60"/>
      <c r="D68" s="33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33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x14ac:dyDescent="0.3">
      <c r="A69" s="20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20"/>
      <c r="DS69" s="40"/>
      <c r="DT69" s="40"/>
      <c r="DU69" s="40"/>
      <c r="DV69" s="40"/>
      <c r="DW69" s="40"/>
      <c r="DX69" s="40"/>
      <c r="DY69" s="40"/>
    </row>
    <row r="70" spans="1:129" x14ac:dyDescent="0.3">
      <c r="A70" s="20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20"/>
      <c r="DS70" s="40"/>
      <c r="DT70" s="40"/>
      <c r="DU70" s="40"/>
      <c r="DV70" s="40"/>
      <c r="DW70" s="40"/>
      <c r="DX70" s="40"/>
      <c r="DY70" s="40"/>
    </row>
    <row r="71" spans="1:129" x14ac:dyDescent="0.3">
      <c r="A71" s="20"/>
      <c r="B71" s="6" t="s">
        <v>74</v>
      </c>
      <c r="C71" s="6"/>
      <c r="D71" s="6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20"/>
      <c r="DS71" s="40"/>
      <c r="DT71" s="40"/>
      <c r="DU71" s="40"/>
      <c r="DV71" s="40"/>
      <c r="DW71" s="40"/>
      <c r="DX71" s="40"/>
      <c r="DY71" s="40"/>
    </row>
    <row r="72" spans="1:129" x14ac:dyDescent="0.3">
      <c r="A72" s="20"/>
      <c r="B72" s="6" t="s">
        <v>75</v>
      </c>
      <c r="C72" s="6"/>
      <c r="D72" s="6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20"/>
      <c r="DS72" s="40"/>
      <c r="DT72" s="40"/>
      <c r="DU72" s="40"/>
      <c r="DV72" s="40"/>
      <c r="DW72" s="40"/>
      <c r="DX72" s="40"/>
      <c r="DY72" s="40"/>
    </row>
    <row r="73" spans="1:129" x14ac:dyDescent="0.3">
      <c r="A73" s="20"/>
      <c r="B73" s="6"/>
      <c r="C73" s="6"/>
      <c r="D73" s="6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20"/>
      <c r="DS73" s="40"/>
      <c r="DT73" s="40"/>
      <c r="DU73" s="40"/>
      <c r="DV73" s="40"/>
      <c r="DW73" s="40"/>
      <c r="DX73" s="40"/>
      <c r="DY73" s="40"/>
    </row>
    <row r="74" spans="1:129" ht="12.45" x14ac:dyDescent="0.3">
      <c r="A74" s="20"/>
      <c r="B74" s="33"/>
      <c r="C74" s="33"/>
      <c r="D74" s="33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x14ac:dyDescent="0.3">
      <c r="A75" s="20"/>
      <c r="B75" s="163" t="s">
        <v>34</v>
      </c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  <c r="BF75" s="163"/>
      <c r="BG75" s="163"/>
      <c r="BH75" s="163"/>
      <c r="BI75" s="163"/>
      <c r="BJ75" s="163"/>
      <c r="BK75" s="163"/>
      <c r="BL75" s="163"/>
      <c r="BM75" s="163"/>
      <c r="BN75" s="163"/>
      <c r="BO75" s="163"/>
      <c r="BP75" s="163"/>
      <c r="BQ75" s="163"/>
      <c r="BR75" s="163"/>
      <c r="BS75" s="163"/>
      <c r="BT75" s="163"/>
      <c r="BU75" s="163"/>
      <c r="BV75" s="163"/>
      <c r="BW75" s="163"/>
      <c r="BX75" s="163"/>
      <c r="BY75" s="163"/>
      <c r="BZ75" s="163"/>
      <c r="CA75" s="163"/>
      <c r="CB75" s="163"/>
      <c r="CC75" s="163"/>
      <c r="CD75" s="163"/>
      <c r="CE75" s="163"/>
      <c r="CF75" s="163"/>
      <c r="CG75" s="163"/>
      <c r="CH75" s="163"/>
      <c r="CI75" s="163"/>
      <c r="CJ75" s="163"/>
      <c r="CK75" s="163"/>
      <c r="CL75" s="163"/>
      <c r="CM75" s="163"/>
      <c r="CN75" s="163"/>
      <c r="CO75" s="163"/>
      <c r="CP75" s="163"/>
      <c r="CQ75" s="163"/>
      <c r="CR75" s="163"/>
      <c r="CS75" s="163"/>
      <c r="CT75" s="163"/>
      <c r="CU75" s="163"/>
      <c r="CV75" s="163"/>
      <c r="CW75" s="163"/>
      <c r="CX75" s="163"/>
      <c r="CY75" s="163"/>
      <c r="CZ75" s="163"/>
      <c r="DA75" s="163"/>
      <c r="DB75" s="163"/>
      <c r="DC75" s="163"/>
      <c r="DD75" s="163"/>
      <c r="DE75" s="163"/>
      <c r="DF75" s="163"/>
      <c r="DG75" s="163"/>
      <c r="DH75" s="163"/>
      <c r="DI75" s="163"/>
      <c r="DJ75" s="163"/>
      <c r="DK75" s="163"/>
      <c r="DL75" s="163"/>
      <c r="DM75" s="163"/>
      <c r="DN75" s="163"/>
      <c r="DO75" s="163"/>
      <c r="DP75" s="163"/>
      <c r="DQ75" s="163"/>
      <c r="DR75" s="20"/>
      <c r="DS75" s="40"/>
      <c r="DT75" s="40"/>
      <c r="DU75" s="40"/>
      <c r="DV75" s="40"/>
      <c r="DW75" s="40"/>
      <c r="DX75" s="40"/>
      <c r="DY75" s="40"/>
    </row>
    <row r="76" spans="1:129" ht="12.75" customHeight="1" x14ac:dyDescent="0.3">
      <c r="A76" s="20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95"/>
      <c r="BR76" s="95"/>
      <c r="BS76" s="95"/>
      <c r="BT76" s="95"/>
      <c r="BU76" s="95"/>
      <c r="BV76" s="95"/>
      <c r="BW76" s="95"/>
      <c r="BX76" s="95"/>
      <c r="BY76" s="95"/>
      <c r="BZ76" s="95"/>
      <c r="CA76" s="95"/>
      <c r="CB76" s="95"/>
      <c r="CC76" s="95"/>
      <c r="CD76" s="95"/>
      <c r="CE76" s="95"/>
      <c r="CF76" s="95"/>
      <c r="CG76" s="95"/>
      <c r="CH76" s="95"/>
      <c r="CI76" s="95"/>
      <c r="CJ76" s="95"/>
      <c r="CK76" s="95"/>
      <c r="CL76" s="95"/>
      <c r="CM76" s="95"/>
      <c r="CN76" s="95"/>
      <c r="CO76" s="95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20"/>
      <c r="DS76" s="40"/>
      <c r="DT76" s="40"/>
      <c r="DU76" s="40"/>
      <c r="DV76" s="40"/>
      <c r="DW76" s="40"/>
      <c r="DX76" s="40"/>
      <c r="DY76" s="40"/>
    </row>
    <row r="77" spans="1:129" ht="12.75" customHeight="1" x14ac:dyDescent="0.3">
      <c r="A77" s="20"/>
      <c r="B77" s="162"/>
      <c r="C77" s="162"/>
      <c r="D77" s="162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34" t="s">
        <v>35</v>
      </c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50"/>
      <c r="BR77" s="150"/>
      <c r="BS77" s="150"/>
      <c r="BT77" s="150"/>
      <c r="BU77" s="150"/>
      <c r="BV77" s="150"/>
      <c r="BW77" s="150"/>
      <c r="BX77" s="150"/>
      <c r="BY77" s="150"/>
      <c r="BZ77" s="150"/>
      <c r="CA77" s="150"/>
      <c r="CB77" s="150"/>
      <c r="CC77" s="150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34" t="s">
        <v>36</v>
      </c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62"/>
      <c r="DP77" s="162"/>
      <c r="DQ77" s="162"/>
      <c r="DR77" s="20"/>
      <c r="DS77" s="40"/>
      <c r="DT77" s="40"/>
      <c r="DU77" s="40"/>
      <c r="DV77" s="40"/>
      <c r="DW77" s="40"/>
      <c r="DX77" s="40"/>
      <c r="DY77" s="40"/>
    </row>
    <row r="78" spans="1:129" x14ac:dyDescent="0.3">
      <c r="A78" s="20"/>
      <c r="B78" s="162"/>
      <c r="C78" s="162"/>
      <c r="D78" s="162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162"/>
      <c r="DP78" s="162"/>
      <c r="DQ78" s="162"/>
      <c r="DR78" s="20"/>
      <c r="DS78" s="40"/>
      <c r="DT78" s="40"/>
      <c r="DU78" s="40"/>
      <c r="DV78" s="40"/>
      <c r="DW78" s="40"/>
      <c r="DX78" s="40"/>
      <c r="DY78" s="40"/>
    </row>
    <row r="79" spans="1:129" ht="15.75" customHeight="1" x14ac:dyDescent="0.3">
      <c r="A79" s="20"/>
      <c r="B79" s="44"/>
      <c r="C79" s="44"/>
      <c r="D79" s="44"/>
      <c r="E79" s="44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44"/>
      <c r="DO79" s="44"/>
      <c r="DP79" s="44"/>
      <c r="DQ79" s="44"/>
      <c r="DR79" s="20"/>
      <c r="DS79" s="40"/>
      <c r="DT79" s="40"/>
      <c r="DU79" s="40"/>
      <c r="DV79" s="40"/>
      <c r="DW79" s="40"/>
      <c r="DX79" s="40"/>
      <c r="DY79" s="40"/>
    </row>
    <row r="80" spans="1:129" x14ac:dyDescent="0.3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40"/>
      <c r="DT80" s="40"/>
      <c r="DU80" s="40"/>
      <c r="DV80" s="40"/>
      <c r="DW80" s="40"/>
      <c r="DX80" s="40"/>
      <c r="DY80" s="40"/>
    </row>
    <row r="81" spans="1:129" x14ac:dyDescent="0.3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40"/>
      <c r="DT81" s="40"/>
      <c r="DU81" s="40"/>
      <c r="DV81" s="40"/>
      <c r="DW81" s="40"/>
      <c r="DX81" s="40"/>
      <c r="DY81" s="40"/>
    </row>
    <row r="82" spans="1:129" x14ac:dyDescent="0.3">
      <c r="DS82" s="40"/>
      <c r="DT82" s="40"/>
      <c r="DU82" s="40"/>
      <c r="DV82" s="40"/>
      <c r="DW82" s="40"/>
      <c r="DX82" s="40"/>
      <c r="DY82" s="40"/>
    </row>
    <row r="83" spans="1:129" x14ac:dyDescent="0.3">
      <c r="DS83" s="40"/>
      <c r="DT83" s="40"/>
      <c r="DU83" s="40"/>
      <c r="DV83" s="40"/>
      <c r="DW83" s="40"/>
      <c r="DX83" s="40"/>
      <c r="DY83" s="40"/>
    </row>
    <row r="84" spans="1:129" x14ac:dyDescent="0.3"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ht="13.5" customHeight="1" x14ac:dyDescent="0.3">
      <c r="DS87" s="40"/>
      <c r="DT87" s="40"/>
      <c r="DU87" s="40"/>
      <c r="DV87" s="40"/>
      <c r="DW87" s="40"/>
      <c r="DX87" s="40"/>
      <c r="DY87" s="40"/>
    </row>
    <row r="88" spans="1:129" s="2" customFormat="1" ht="12.45" x14ac:dyDescent="0.3"/>
    <row r="89" spans="1:129" s="2" customFormat="1" ht="6" customHeight="1" x14ac:dyDescent="0.3"/>
    <row r="90" spans="1:129" s="2" customFormat="1" ht="9" customHeight="1" x14ac:dyDescent="0.3"/>
    <row r="91" spans="1:129" s="1" customFormat="1" ht="5.25" customHeight="1" x14ac:dyDescent="0.25"/>
  </sheetData>
  <mergeCells count="213">
    <mergeCell ref="B50:BO50"/>
    <mergeCell ref="B55:BO55"/>
    <mergeCell ref="B56:BO57"/>
    <mergeCell ref="B51:BO51"/>
    <mergeCell ref="B41:BO41"/>
    <mergeCell ref="B42:BO42"/>
    <mergeCell ref="B43:BO43"/>
    <mergeCell ref="B53:BO53"/>
    <mergeCell ref="B54:BO54"/>
    <mergeCell ref="CT54:CV55"/>
    <mergeCell ref="CQ54:CS55"/>
    <mergeCell ref="CT48:CV49"/>
    <mergeCell ref="CQ45:CS45"/>
    <mergeCell ref="CT45:CV45"/>
    <mergeCell ref="CK37:CM38"/>
    <mergeCell ref="CN37:CP38"/>
    <mergeCell ref="CQ37:CS38"/>
    <mergeCell ref="CT37:CV38"/>
    <mergeCell ref="CT42:CV43"/>
    <mergeCell ref="B19:BO19"/>
    <mergeCell ref="B20:BO20"/>
    <mergeCell ref="CH54:CJ55"/>
    <mergeCell ref="CK54:CM55"/>
    <mergeCell ref="CN54:CP55"/>
    <mergeCell ref="CB31:CD32"/>
    <mergeCell ref="CB37:CD38"/>
    <mergeCell ref="CB42:CD43"/>
    <mergeCell ref="CB48:CD49"/>
    <mergeCell ref="CB54:CD55"/>
    <mergeCell ref="B25:BO25"/>
    <mergeCell ref="B26:BO26"/>
    <mergeCell ref="B27:BO27"/>
    <mergeCell ref="B28:BO28"/>
    <mergeCell ref="B30:BO30"/>
    <mergeCell ref="B31:BO31"/>
    <mergeCell ref="B32:BO32"/>
    <mergeCell ref="B36:BO36"/>
    <mergeCell ref="B37:BO37"/>
    <mergeCell ref="B38:BO38"/>
    <mergeCell ref="B39:BO39"/>
    <mergeCell ref="B47:BO47"/>
    <mergeCell ref="B48:BO48"/>
    <mergeCell ref="B49:BO49"/>
    <mergeCell ref="CN20:CP21"/>
    <mergeCell ref="CK27:CM28"/>
    <mergeCell ref="CN27:CP28"/>
    <mergeCell ref="BP20:BW21"/>
    <mergeCell ref="BP27:BW28"/>
    <mergeCell ref="CB20:CD21"/>
    <mergeCell ref="CB27:CD28"/>
    <mergeCell ref="CQ20:CS21"/>
    <mergeCell ref="CB23:CD23"/>
    <mergeCell ref="CE23:CG23"/>
    <mergeCell ref="CH23:CJ23"/>
    <mergeCell ref="CK23:CM23"/>
    <mergeCell ref="BP23:BW23"/>
    <mergeCell ref="CE27:CG28"/>
    <mergeCell ref="CH27:CJ28"/>
    <mergeCell ref="A1:D1"/>
    <mergeCell ref="Z1:AC1"/>
    <mergeCell ref="AO2:AQ3"/>
    <mergeCell ref="AR2:AT3"/>
    <mergeCell ref="AU2:AW3"/>
    <mergeCell ref="CW23:CY23"/>
    <mergeCell ref="CA12:DK12"/>
    <mergeCell ref="BM2:BO3"/>
    <mergeCell ref="BP2:BR3"/>
    <mergeCell ref="BS2:BU3"/>
    <mergeCell ref="BD2:BF3"/>
    <mergeCell ref="AX2:AZ3"/>
    <mergeCell ref="BD5:BF5"/>
    <mergeCell ref="BG5:BI5"/>
    <mergeCell ref="BS5:BU5"/>
    <mergeCell ref="BY5:CA5"/>
    <mergeCell ref="B8:DQ8"/>
    <mergeCell ref="AO5:AQ5"/>
    <mergeCell ref="CW20:CY21"/>
    <mergeCell ref="CQ23:CS23"/>
    <mergeCell ref="CT23:CV23"/>
    <mergeCell ref="B2:D2"/>
    <mergeCell ref="Z2:AB2"/>
    <mergeCell ref="AD2:AK2"/>
    <mergeCell ref="BG2:BI3"/>
    <mergeCell ref="BJ2:BL3"/>
    <mergeCell ref="BA5:BC5"/>
    <mergeCell ref="BA2:BC3"/>
    <mergeCell ref="CZ23:DB23"/>
    <mergeCell ref="DC23:DE23"/>
    <mergeCell ref="CW17:CY17"/>
    <mergeCell ref="CZ17:DB17"/>
    <mergeCell ref="DC17:DE17"/>
    <mergeCell ref="BV5:BX5"/>
    <mergeCell ref="B21:BO22"/>
    <mergeCell ref="AD5:AK5"/>
    <mergeCell ref="AL5:AN5"/>
    <mergeCell ref="AU5:AW5"/>
    <mergeCell ref="AX5:AZ5"/>
    <mergeCell ref="AR5:AT5"/>
    <mergeCell ref="CT20:CV21"/>
    <mergeCell ref="AL2:AN3"/>
    <mergeCell ref="CQ17:CS17"/>
    <mergeCell ref="CT17:CV17"/>
    <mergeCell ref="CN23:CP23"/>
    <mergeCell ref="CE20:CG21"/>
    <mergeCell ref="CH20:CJ21"/>
    <mergeCell ref="CK20:CM21"/>
    <mergeCell ref="DF17:DH17"/>
    <mergeCell ref="B9:DQ9"/>
    <mergeCell ref="B10:DQ10"/>
    <mergeCell ref="BJ5:BL5"/>
    <mergeCell ref="BM5:BR5"/>
    <mergeCell ref="DO77:DQ78"/>
    <mergeCell ref="B75:DQ75"/>
    <mergeCell ref="CH17:CJ17"/>
    <mergeCell ref="CK17:CM17"/>
    <mergeCell ref="CN17:CP17"/>
    <mergeCell ref="B77:D78"/>
    <mergeCell ref="BP17:BW17"/>
    <mergeCell ref="DC20:DE21"/>
    <mergeCell ref="DF20:DH21"/>
    <mergeCell ref="DI20:DK21"/>
    <mergeCell ref="CW27:CY28"/>
    <mergeCell ref="CZ27:DB28"/>
    <mergeCell ref="DC27:DE28"/>
    <mergeCell ref="DF27:DH28"/>
    <mergeCell ref="DI27:DK28"/>
    <mergeCell ref="CB17:CD17"/>
    <mergeCell ref="CE17:CG17"/>
    <mergeCell ref="CZ20:DB21"/>
    <mergeCell ref="DF23:DH23"/>
    <mergeCell ref="BQ76:CO77"/>
    <mergeCell ref="CQ27:CS28"/>
    <mergeCell ref="CT27:CV28"/>
    <mergeCell ref="BP31:BW32"/>
    <mergeCell ref="AE76:AV77"/>
    <mergeCell ref="BP12:BW12"/>
    <mergeCell ref="B12:BL12"/>
    <mergeCell ref="B13:BL13"/>
    <mergeCell ref="B14:BL16"/>
    <mergeCell ref="CN45:CP45"/>
    <mergeCell ref="CA13:DK13"/>
    <mergeCell ref="CB15:CD15"/>
    <mergeCell ref="BP13:BW13"/>
    <mergeCell ref="BP15:BW15"/>
    <mergeCell ref="CW48:CY49"/>
    <mergeCell ref="CZ48:DB49"/>
    <mergeCell ref="DC48:DE49"/>
    <mergeCell ref="DF48:DH49"/>
    <mergeCell ref="DI48:DK49"/>
    <mergeCell ref="CE31:CG32"/>
    <mergeCell ref="CH31:CJ32"/>
    <mergeCell ref="CW54:CY55"/>
    <mergeCell ref="CZ54:DB55"/>
    <mergeCell ref="DC54:DE55"/>
    <mergeCell ref="DC37:DE38"/>
    <mergeCell ref="DF37:DH38"/>
    <mergeCell ref="DI37:DK38"/>
    <mergeCell ref="DF54:DH55"/>
    <mergeCell ref="DI54:DK55"/>
    <mergeCell ref="BP54:BW55"/>
    <mergeCell ref="CE54:CG55"/>
    <mergeCell ref="DC31:DE32"/>
    <mergeCell ref="DF31:DH32"/>
    <mergeCell ref="DI31:DK32"/>
    <mergeCell ref="CK34:CM34"/>
    <mergeCell ref="CN34:CP34"/>
    <mergeCell ref="CQ34:CS34"/>
    <mergeCell ref="CT34:CV34"/>
    <mergeCell ref="CW34:CY34"/>
    <mergeCell ref="CZ34:DB34"/>
    <mergeCell ref="DC34:DE34"/>
    <mergeCell ref="CW31:CY32"/>
    <mergeCell ref="CZ31:DB32"/>
    <mergeCell ref="CK31:CM32"/>
    <mergeCell ref="CN31:CP32"/>
    <mergeCell ref="CQ31:CS32"/>
    <mergeCell ref="CT31:CV32"/>
    <mergeCell ref="DF34:DH34"/>
    <mergeCell ref="CW42:CY43"/>
    <mergeCell ref="CZ42:DB43"/>
    <mergeCell ref="CW37:CY38"/>
    <mergeCell ref="CZ37:DB38"/>
    <mergeCell ref="BP34:BW34"/>
    <mergeCell ref="CB34:CD34"/>
    <mergeCell ref="CE34:CG34"/>
    <mergeCell ref="CH34:CJ34"/>
    <mergeCell ref="BP37:BW38"/>
    <mergeCell ref="CE37:CG38"/>
    <mergeCell ref="CH37:CJ38"/>
    <mergeCell ref="BP48:BW49"/>
    <mergeCell ref="CE48:CG49"/>
    <mergeCell ref="CH48:CJ49"/>
    <mergeCell ref="CK48:CM49"/>
    <mergeCell ref="CN48:CP49"/>
    <mergeCell ref="CQ48:CS49"/>
    <mergeCell ref="DC42:DE43"/>
    <mergeCell ref="DF42:DH43"/>
    <mergeCell ref="DI42:DK43"/>
    <mergeCell ref="BP45:BW45"/>
    <mergeCell ref="CB45:CD45"/>
    <mergeCell ref="CE45:CG45"/>
    <mergeCell ref="CH45:CJ45"/>
    <mergeCell ref="CK45:CM45"/>
    <mergeCell ref="CW45:CY45"/>
    <mergeCell ref="CZ45:DB45"/>
    <mergeCell ref="DC45:DE45"/>
    <mergeCell ref="DF45:DH45"/>
    <mergeCell ref="BP42:BW43"/>
    <mergeCell ref="CE42:CG43"/>
    <mergeCell ref="CH42:CJ43"/>
    <mergeCell ref="CK42:CM43"/>
    <mergeCell ref="CN42:CP43"/>
    <mergeCell ref="CQ42:CS43"/>
  </mergeCells>
  <phoneticPr fontId="23" type="noConversion"/>
  <printOptions horizontalCentered="1"/>
  <pageMargins left="0.36" right="0.19685039370078741" top="0.49" bottom="0.19685039370078741" header="0" footer="0"/>
  <pageSetup paperSize="9" scale="82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DY94"/>
  <sheetViews>
    <sheetView showGridLines="0" view="pageBreakPreview" zoomScaleNormal="100" zoomScaleSheetLayoutView="100" workbookViewId="0">
      <selection activeCell="AY11" sqref="AY11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3" width="6.30468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71"/>
      <c r="B1" s="171"/>
      <c r="C1" s="171"/>
      <c r="D1" s="172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73"/>
      <c r="AA1" s="171"/>
      <c r="AB1" s="171"/>
      <c r="AC1" s="172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140"/>
      <c r="C2" s="140"/>
      <c r="D2" s="14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40"/>
      <c r="AA2" s="140"/>
      <c r="AB2" s="140"/>
      <c r="AC2" s="5"/>
      <c r="AD2" s="134" t="s">
        <v>2</v>
      </c>
      <c r="AE2" s="134"/>
      <c r="AF2" s="134"/>
      <c r="AG2" s="134"/>
      <c r="AH2" s="134"/>
      <c r="AI2" s="134"/>
      <c r="AJ2" s="134"/>
      <c r="AK2" s="134"/>
      <c r="AL2" s="164" t="str">
        <f>IF(ISBLANK(str.1!AL2),"",str.1!AL2)</f>
        <v>1</v>
      </c>
      <c r="AM2" s="165"/>
      <c r="AN2" s="166"/>
      <c r="AO2" s="164" t="str">
        <f>IF(ISBLANK(str.1!AO2),"",str.1!AO2)</f>
        <v>2</v>
      </c>
      <c r="AP2" s="165"/>
      <c r="AQ2" s="166"/>
      <c r="AR2" s="164" t="str">
        <f>IF(ISBLANK(str.1!AR2),"",str.1!AR2)</f>
        <v>2</v>
      </c>
      <c r="AS2" s="165"/>
      <c r="AT2" s="166"/>
      <c r="AU2" s="164" t="str">
        <f>IF(ISBLANK(str.1!AU2),"",str.1!AU2)</f>
        <v>1</v>
      </c>
      <c r="AV2" s="165"/>
      <c r="AW2" s="166"/>
      <c r="AX2" s="164" t="str">
        <f>IF(ISBLANK(str.1!AX2),"",str.1!AX2)</f>
        <v>1</v>
      </c>
      <c r="AY2" s="165"/>
      <c r="AZ2" s="166"/>
      <c r="BA2" s="164" t="str">
        <f>IF(ISBLANK(str.1!BA2),"",str.1!BA2)</f>
        <v>1</v>
      </c>
      <c r="BB2" s="165"/>
      <c r="BC2" s="166"/>
      <c r="BD2" s="164" t="str">
        <f>IF(ISBLANK(str.1!BD2),"",str.1!BD2)</f>
        <v>2</v>
      </c>
      <c r="BE2" s="165"/>
      <c r="BF2" s="166"/>
      <c r="BG2" s="164" t="str">
        <f>IF(ISBLANK(str.1!BG2),"",str.1!BG2)</f>
        <v>2</v>
      </c>
      <c r="BH2" s="165"/>
      <c r="BI2" s="166"/>
      <c r="BJ2" s="164" t="str">
        <f>IF(ISBLANK(str.1!BJ2),"",str.1!BJ2)</f>
        <v>1</v>
      </c>
      <c r="BK2" s="165"/>
      <c r="BL2" s="166"/>
      <c r="BM2" s="164" t="str">
        <f>IF(ISBLANK(str.1!BM2),"",str.1!BM2)</f>
        <v>2</v>
      </c>
      <c r="BN2" s="165"/>
      <c r="BO2" s="166"/>
      <c r="BP2" s="164" t="str">
        <f>IF(ISBLANK(str.1!BP2),"",str.1!BP2)</f>
        <v>2</v>
      </c>
      <c r="BQ2" s="165"/>
      <c r="BR2" s="166"/>
      <c r="BS2" s="164" t="str">
        <f>IF(ISBLANK(str.1!BS2),"",str.1!BS2)</f>
        <v>1</v>
      </c>
      <c r="BT2" s="165"/>
      <c r="BU2" s="166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7"/>
      <c r="AM3" s="168"/>
      <c r="AN3" s="169"/>
      <c r="AO3" s="167"/>
      <c r="AP3" s="168"/>
      <c r="AQ3" s="169"/>
      <c r="AR3" s="167"/>
      <c r="AS3" s="168"/>
      <c r="AT3" s="169"/>
      <c r="AU3" s="167"/>
      <c r="AV3" s="168"/>
      <c r="AW3" s="169"/>
      <c r="AX3" s="167"/>
      <c r="AY3" s="168"/>
      <c r="AZ3" s="169"/>
      <c r="BA3" s="167"/>
      <c r="BB3" s="168"/>
      <c r="BC3" s="169"/>
      <c r="BD3" s="167"/>
      <c r="BE3" s="168"/>
      <c r="BF3" s="169"/>
      <c r="BG3" s="167"/>
      <c r="BH3" s="168"/>
      <c r="BI3" s="169"/>
      <c r="BJ3" s="167"/>
      <c r="BK3" s="168"/>
      <c r="BL3" s="169"/>
      <c r="BM3" s="167"/>
      <c r="BN3" s="168"/>
      <c r="BO3" s="169"/>
      <c r="BP3" s="167"/>
      <c r="BQ3" s="168"/>
      <c r="BR3" s="169"/>
      <c r="BS3" s="167"/>
      <c r="BT3" s="168"/>
      <c r="BU3" s="169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34" t="s">
        <v>3</v>
      </c>
      <c r="AE5" s="134"/>
      <c r="AF5" s="134"/>
      <c r="AG5" s="134"/>
      <c r="AH5" s="134"/>
      <c r="AI5" s="134"/>
      <c r="AJ5" s="134"/>
      <c r="AK5" s="134"/>
      <c r="AL5" s="158" t="str">
        <f>IF(ISBLANK(str.1!AL5),"",str.1!AL5)</f>
        <v>-</v>
      </c>
      <c r="AM5" s="158"/>
      <c r="AN5" s="158"/>
      <c r="AO5" s="158" t="str">
        <f>IF(ISBLANK(str.1!AO5),"",str.1!AO5)</f>
        <v>-</v>
      </c>
      <c r="AP5" s="158"/>
      <c r="AQ5" s="158"/>
      <c r="AR5" s="158" t="str">
        <f>IF(ISBLANK(str.1!AR5),"",str.1!AR5)</f>
        <v>-</v>
      </c>
      <c r="AS5" s="158"/>
      <c r="AT5" s="158"/>
      <c r="AU5" s="158" t="str">
        <f>IF(ISBLANK(str.1!AU5),"",str.1!AU5)</f>
        <v>-</v>
      </c>
      <c r="AV5" s="158"/>
      <c r="AW5" s="158"/>
      <c r="AX5" s="158" t="str">
        <f>IF(ISBLANK(str.1!AX5),"",str.1!AX5)</f>
        <v>-</v>
      </c>
      <c r="AY5" s="158"/>
      <c r="AZ5" s="158"/>
      <c r="BA5" s="158" t="str">
        <f>IF(ISBLANK(str.1!BA5),"",str.1!BA5)</f>
        <v>-</v>
      </c>
      <c r="BB5" s="158"/>
      <c r="BC5" s="158"/>
      <c r="BD5" s="158" t="str">
        <f>IF(ISBLANK(str.1!BD5),"",str.1!BD5)</f>
        <v>-</v>
      </c>
      <c r="BE5" s="158"/>
      <c r="BF5" s="158"/>
      <c r="BG5" s="158" t="str">
        <f>IF(ISBLANK(str.1!BG5),"",str.1!BG5)</f>
        <v>-</v>
      </c>
      <c r="BH5" s="158"/>
      <c r="BI5" s="158"/>
      <c r="BJ5" s="158" t="str">
        <f>IF(ISBLANK(str.1!BJ5),"",str.1!BJ5)</f>
        <v>-</v>
      </c>
      <c r="BK5" s="158"/>
      <c r="BL5" s="158"/>
      <c r="BM5" s="159" t="s">
        <v>4</v>
      </c>
      <c r="BN5" s="160"/>
      <c r="BO5" s="160"/>
      <c r="BP5" s="160"/>
      <c r="BQ5" s="160"/>
      <c r="BR5" s="161"/>
      <c r="BS5" s="80" t="s">
        <v>43</v>
      </c>
      <c r="BT5" s="80"/>
      <c r="BU5" s="80"/>
      <c r="BV5" s="80" t="s">
        <v>43</v>
      </c>
      <c r="BW5" s="80"/>
      <c r="BX5" s="80"/>
      <c r="BY5" s="80" t="s">
        <v>53</v>
      </c>
      <c r="BZ5" s="80"/>
      <c r="CA5" s="80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82" t="s">
        <v>147</v>
      </c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57" t="s">
        <v>79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7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7"/>
      <c r="CO9" s="157"/>
      <c r="CP9" s="157"/>
      <c r="CQ9" s="157"/>
      <c r="CR9" s="157"/>
      <c r="CS9" s="157"/>
      <c r="CT9" s="157"/>
      <c r="CU9" s="157"/>
      <c r="CV9" s="157"/>
      <c r="CW9" s="157"/>
      <c r="CX9" s="157"/>
      <c r="CY9" s="157"/>
      <c r="CZ9" s="157"/>
      <c r="DA9" s="157"/>
      <c r="DB9" s="157"/>
      <c r="DC9" s="157"/>
      <c r="DD9" s="157"/>
      <c r="DE9" s="157"/>
      <c r="DF9" s="157"/>
      <c r="DG9" s="157"/>
      <c r="DH9" s="157"/>
      <c r="DI9" s="157"/>
      <c r="DJ9" s="157"/>
      <c r="DK9" s="157"/>
      <c r="DL9" s="157"/>
      <c r="DM9" s="157"/>
      <c r="DN9" s="157"/>
      <c r="DO9" s="157"/>
      <c r="DP9" s="157"/>
      <c r="DQ9" s="157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57"/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7"/>
      <c r="BM10" s="157"/>
      <c r="BN10" s="157"/>
      <c r="BO10" s="157"/>
      <c r="BP10" s="157"/>
      <c r="BQ10" s="157"/>
      <c r="BR10" s="157"/>
      <c r="BS10" s="157"/>
      <c r="BT10" s="157"/>
      <c r="BU10" s="157"/>
      <c r="BV10" s="157"/>
      <c r="BW10" s="157"/>
      <c r="BX10" s="157"/>
      <c r="BY10" s="157"/>
      <c r="BZ10" s="157"/>
      <c r="CA10" s="157"/>
      <c r="CB10" s="157"/>
      <c r="CC10" s="157"/>
      <c r="CD10" s="157"/>
      <c r="CE10" s="157"/>
      <c r="CF10" s="157"/>
      <c r="CG10" s="157"/>
      <c r="CH10" s="157"/>
      <c r="CI10" s="157"/>
      <c r="CJ10" s="157"/>
      <c r="CK10" s="157"/>
      <c r="CL10" s="157"/>
      <c r="CM10" s="157"/>
      <c r="CN10" s="157"/>
      <c r="CO10" s="157"/>
      <c r="CP10" s="157"/>
      <c r="CQ10" s="157"/>
      <c r="CR10" s="157"/>
      <c r="CS10" s="157"/>
      <c r="CT10" s="157"/>
      <c r="CU10" s="157"/>
      <c r="CV10" s="157"/>
      <c r="CW10" s="157"/>
      <c r="CX10" s="157"/>
      <c r="CY10" s="157"/>
      <c r="CZ10" s="157"/>
      <c r="DA10" s="157"/>
      <c r="DB10" s="157"/>
      <c r="DC10" s="157"/>
      <c r="DD10" s="157"/>
      <c r="DE10" s="157"/>
      <c r="DF10" s="157"/>
      <c r="DG10" s="157"/>
      <c r="DH10" s="157"/>
      <c r="DI10" s="157"/>
      <c r="DJ10" s="157"/>
      <c r="DK10" s="157"/>
      <c r="DL10" s="157"/>
      <c r="DM10" s="157"/>
      <c r="DN10" s="157"/>
      <c r="DO10" s="157"/>
      <c r="DP10" s="157"/>
      <c r="DQ10" s="157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52" t="s">
        <v>31</v>
      </c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2"/>
      <c r="BJ12" s="152"/>
      <c r="BK12" s="152"/>
      <c r="BL12" s="152"/>
      <c r="BM12" s="57"/>
      <c r="BN12" s="57"/>
      <c r="BO12" s="57"/>
      <c r="BP12" s="151" t="s">
        <v>30</v>
      </c>
      <c r="BQ12" s="151"/>
      <c r="BR12" s="151"/>
      <c r="BS12" s="151"/>
      <c r="BT12" s="151"/>
      <c r="BU12" s="151"/>
      <c r="BV12" s="151"/>
      <c r="BW12" s="151"/>
      <c r="BX12" s="57"/>
      <c r="BY12" s="57"/>
      <c r="BZ12" s="57"/>
      <c r="CA12" s="152" t="s">
        <v>68</v>
      </c>
      <c r="CB12" s="152"/>
      <c r="CC12" s="152"/>
      <c r="CD12" s="152"/>
      <c r="CE12" s="152"/>
      <c r="CF12" s="152"/>
      <c r="CG12" s="152"/>
      <c r="CH12" s="152"/>
      <c r="CI12" s="152"/>
      <c r="CJ12" s="152"/>
      <c r="CK12" s="152"/>
      <c r="CL12" s="152"/>
      <c r="CM12" s="152"/>
      <c r="CN12" s="152"/>
      <c r="CO12" s="152"/>
      <c r="CP12" s="152"/>
      <c r="CQ12" s="152"/>
      <c r="CR12" s="152"/>
      <c r="CS12" s="152"/>
      <c r="CT12" s="152"/>
      <c r="CU12" s="152"/>
      <c r="CV12" s="152"/>
      <c r="CW12" s="152"/>
      <c r="CX12" s="152"/>
      <c r="CY12" s="152"/>
      <c r="CZ12" s="152"/>
      <c r="DA12" s="152"/>
      <c r="DB12" s="152"/>
      <c r="DC12" s="152"/>
      <c r="DD12" s="152"/>
      <c r="DE12" s="152"/>
      <c r="DF12" s="152"/>
      <c r="DG12" s="152"/>
      <c r="DH12" s="152"/>
      <c r="DI12" s="152"/>
      <c r="DJ12" s="152"/>
      <c r="DK12" s="152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53">
        <v>1</v>
      </c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58"/>
      <c r="BN13" s="58"/>
      <c r="BO13" s="58"/>
      <c r="BP13" s="156">
        <v>2</v>
      </c>
      <c r="BQ13" s="156"/>
      <c r="BR13" s="156"/>
      <c r="BS13" s="156"/>
      <c r="BT13" s="156"/>
      <c r="BU13" s="156"/>
      <c r="BV13" s="156"/>
      <c r="BW13" s="156"/>
      <c r="BX13" s="58"/>
      <c r="BY13" s="58"/>
      <c r="BZ13" s="58"/>
      <c r="CA13" s="153">
        <v>3</v>
      </c>
      <c r="CB13" s="153"/>
      <c r="CC13" s="153"/>
      <c r="CD13" s="153"/>
      <c r="CE13" s="153"/>
      <c r="CF13" s="153"/>
      <c r="CG13" s="153"/>
      <c r="CH13" s="153"/>
      <c r="CI13" s="153"/>
      <c r="CJ13" s="153"/>
      <c r="CK13" s="153"/>
      <c r="CL13" s="153"/>
      <c r="CM13" s="153"/>
      <c r="CN13" s="153"/>
      <c r="CO13" s="153"/>
      <c r="CP13" s="153"/>
      <c r="CQ13" s="153"/>
      <c r="CR13" s="153"/>
      <c r="CS13" s="153"/>
      <c r="CT13" s="153"/>
      <c r="CU13" s="153"/>
      <c r="CV13" s="153"/>
      <c r="CW13" s="153"/>
      <c r="CX13" s="153"/>
      <c r="CY13" s="153"/>
      <c r="CZ13" s="153"/>
      <c r="DA13" s="153"/>
      <c r="DB13" s="153"/>
      <c r="DC13" s="153"/>
      <c r="DD13" s="153"/>
      <c r="DE13" s="153"/>
      <c r="DF13" s="153"/>
      <c r="DG13" s="153"/>
      <c r="DH13" s="153"/>
      <c r="DI13" s="153"/>
      <c r="DJ13" s="153"/>
      <c r="DK13" s="153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54" t="s">
        <v>77</v>
      </c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4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5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  <c r="AM15" s="154"/>
      <c r="AN15" s="154"/>
      <c r="AO15" s="154"/>
      <c r="AP15" s="154"/>
      <c r="AQ15" s="154"/>
      <c r="AR15" s="154"/>
      <c r="AS15" s="154"/>
      <c r="AT15" s="154"/>
      <c r="AU15" s="154"/>
      <c r="AV15" s="154"/>
      <c r="AW15" s="154"/>
      <c r="AX15" s="154"/>
      <c r="AY15" s="154"/>
      <c r="AZ15" s="154"/>
      <c r="BA15" s="154"/>
      <c r="BB15" s="154"/>
      <c r="BC15" s="154"/>
      <c r="BD15" s="154"/>
      <c r="BE15" s="154"/>
      <c r="BF15" s="154"/>
      <c r="BG15" s="154"/>
      <c r="BH15" s="154"/>
      <c r="BI15" s="154"/>
      <c r="BJ15" s="154"/>
      <c r="BK15" s="154"/>
      <c r="BL15" s="154"/>
      <c r="BM15" s="25"/>
      <c r="BN15" s="37"/>
      <c r="BO15" s="37"/>
      <c r="BP15" s="142" t="s">
        <v>80</v>
      </c>
      <c r="BQ15" s="142"/>
      <c r="BR15" s="142"/>
      <c r="BS15" s="142"/>
      <c r="BT15" s="142"/>
      <c r="BU15" s="142"/>
      <c r="BV15" s="142"/>
      <c r="BW15" s="142"/>
      <c r="BX15" s="37"/>
      <c r="BY15" s="37"/>
      <c r="BZ15" s="37"/>
      <c r="CA15" s="37"/>
      <c r="CB15" s="155" t="s">
        <v>44</v>
      </c>
      <c r="CC15" s="155"/>
      <c r="CD15" s="155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154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2" customHeight="1" x14ac:dyDescent="0.3">
      <c r="A17" s="20"/>
      <c r="B17" s="23" t="s">
        <v>81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55"/>
      <c r="BQ17" s="55"/>
      <c r="BR17" s="55"/>
      <c r="BS17" s="55"/>
      <c r="BT17" s="55"/>
      <c r="BU17" s="55"/>
      <c r="BV17" s="55"/>
      <c r="BW17" s="55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9" customHeight="1" x14ac:dyDescent="0.3">
      <c r="A18" s="20"/>
      <c r="B18" s="26" t="s">
        <v>85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56"/>
      <c r="BN18" s="56"/>
      <c r="BO18" s="56"/>
      <c r="BP18" s="142" t="s">
        <v>123</v>
      </c>
      <c r="BQ18" s="142"/>
      <c r="BR18" s="142"/>
      <c r="BS18" s="142"/>
      <c r="BT18" s="142"/>
      <c r="BU18" s="142"/>
      <c r="BV18" s="142"/>
      <c r="BW18" s="142"/>
      <c r="BX18" s="37"/>
      <c r="BY18" s="37"/>
      <c r="BZ18" s="37"/>
      <c r="CA18" s="37"/>
      <c r="CB18" s="143" t="s">
        <v>55</v>
      </c>
      <c r="CC18" s="144"/>
      <c r="CD18" s="145"/>
      <c r="CE18" s="56"/>
      <c r="CF18" s="56"/>
      <c r="CG18" s="56"/>
      <c r="CH18" s="56"/>
      <c r="CI18" s="56"/>
      <c r="CJ18" s="56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" customHeight="1" x14ac:dyDescent="0.3">
      <c r="A19" s="20"/>
      <c r="B19" s="26" t="s">
        <v>82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56"/>
      <c r="BN19" s="56"/>
      <c r="BO19" s="56"/>
      <c r="BP19" s="142"/>
      <c r="BQ19" s="142"/>
      <c r="BR19" s="142"/>
      <c r="BS19" s="142"/>
      <c r="BT19" s="142"/>
      <c r="BU19" s="142"/>
      <c r="BV19" s="142"/>
      <c r="BW19" s="142"/>
      <c r="BX19" s="56"/>
      <c r="BY19" s="56"/>
      <c r="BZ19" s="56"/>
      <c r="CA19" s="56"/>
      <c r="CB19" s="146"/>
      <c r="CC19" s="147"/>
      <c r="CD19" s="148"/>
      <c r="CE19" s="56"/>
      <c r="CF19" s="56"/>
      <c r="CG19" s="56"/>
      <c r="CH19" s="56"/>
      <c r="CI19" s="56"/>
      <c r="CJ19" s="56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12" customHeight="1" x14ac:dyDescent="0.3">
      <c r="A20" s="20"/>
      <c r="B20" s="26" t="s">
        <v>83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56"/>
      <c r="BN20" s="56"/>
      <c r="BO20" s="56"/>
      <c r="BP20" s="55"/>
      <c r="BQ20" s="55"/>
      <c r="BR20" s="55"/>
      <c r="BS20" s="55"/>
      <c r="BT20" s="55"/>
      <c r="BU20" s="55"/>
      <c r="BV20" s="55"/>
      <c r="BW20" s="55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40"/>
      <c r="DT20" s="40"/>
      <c r="DU20" s="40"/>
      <c r="DV20" s="40"/>
      <c r="DW20" s="40"/>
      <c r="DX20" s="40"/>
      <c r="DY20" s="40"/>
    </row>
    <row r="21" spans="1:129" ht="12" customHeight="1" x14ac:dyDescent="0.3">
      <c r="A21" s="20"/>
      <c r="B21" s="26" t="s">
        <v>84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56"/>
      <c r="BN21" s="56"/>
      <c r="BO21" s="56"/>
      <c r="BP21" s="55"/>
      <c r="BQ21" s="55"/>
      <c r="BR21" s="55"/>
      <c r="BS21" s="55"/>
      <c r="BT21" s="55"/>
      <c r="BU21" s="55"/>
      <c r="BV21" s="55"/>
      <c r="BW21" s="55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56"/>
      <c r="BN22" s="56"/>
      <c r="BO22" s="56"/>
      <c r="BP22" s="16"/>
      <c r="BQ22" s="16"/>
      <c r="BR22" s="16"/>
      <c r="BS22" s="16"/>
      <c r="BT22" s="16"/>
      <c r="BU22" s="16"/>
      <c r="BV22" s="16"/>
      <c r="BW22" s="16"/>
      <c r="BX22" s="56"/>
      <c r="BY22" s="56"/>
      <c r="BZ22" s="56"/>
      <c r="CA22" s="56"/>
      <c r="CB22" s="54"/>
      <c r="CC22" s="54"/>
      <c r="CD22" s="54"/>
      <c r="CE22" s="54"/>
      <c r="CF22" s="54"/>
      <c r="CG22" s="54"/>
      <c r="CH22" s="54"/>
      <c r="CI22" s="54"/>
      <c r="CJ22" s="54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2" customHeight="1" x14ac:dyDescent="0.3">
      <c r="A23" s="20"/>
      <c r="B23" s="119" t="s">
        <v>86</v>
      </c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20"/>
      <c r="BQ23" s="20"/>
      <c r="BR23" s="20"/>
      <c r="BS23" s="20"/>
      <c r="BT23" s="20"/>
      <c r="BU23" s="20"/>
      <c r="BV23" s="20"/>
      <c r="BW23" s="20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12" customHeight="1" x14ac:dyDescent="0.3">
      <c r="A24" s="20"/>
      <c r="B24" s="174" t="s">
        <v>87</v>
      </c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  <c r="AO24" s="174"/>
      <c r="AP24" s="174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74"/>
      <c r="BC24" s="174"/>
      <c r="BD24" s="174"/>
      <c r="BE24" s="174"/>
      <c r="BF24" s="174"/>
      <c r="BG24" s="174"/>
      <c r="BH24" s="174"/>
      <c r="BI24" s="174"/>
      <c r="BJ24" s="174"/>
      <c r="BK24" s="174"/>
      <c r="BL24" s="174"/>
      <c r="BM24" s="174"/>
      <c r="BN24" s="174"/>
      <c r="BO24" s="174"/>
      <c r="BP24" s="20"/>
      <c r="BQ24" s="20"/>
      <c r="BR24" s="20"/>
      <c r="BS24" s="20"/>
      <c r="BT24" s="20"/>
      <c r="BU24" s="20"/>
      <c r="BV24" s="20"/>
      <c r="BW24" s="20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12" customHeight="1" x14ac:dyDescent="0.3">
      <c r="A25" s="20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20"/>
      <c r="BQ25" s="20"/>
      <c r="BR25" s="20"/>
      <c r="BS25" s="20"/>
      <c r="BT25" s="20"/>
      <c r="BU25" s="20"/>
      <c r="BV25" s="20"/>
      <c r="BW25" s="20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18" customHeight="1" x14ac:dyDescent="0.3">
      <c r="A26" s="20"/>
      <c r="B26" s="119" t="s">
        <v>88</v>
      </c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42" t="s">
        <v>73</v>
      </c>
      <c r="BQ26" s="142"/>
      <c r="BR26" s="142"/>
      <c r="BS26" s="142"/>
      <c r="BT26" s="142"/>
      <c r="BU26" s="142"/>
      <c r="BV26" s="142"/>
      <c r="BW26" s="142"/>
      <c r="BX26" s="56"/>
      <c r="BY26" s="56"/>
      <c r="BZ26" s="56"/>
      <c r="CA26" s="56"/>
      <c r="CB26" s="184" t="s">
        <v>151</v>
      </c>
      <c r="CC26" s="185"/>
      <c r="CD26" s="186"/>
      <c r="CE26" s="184" t="s">
        <v>43</v>
      </c>
      <c r="CF26" s="185"/>
      <c r="CG26" s="186"/>
      <c r="CH26" s="184" t="s">
        <v>55</v>
      </c>
      <c r="CI26" s="185"/>
      <c r="CJ26" s="186"/>
      <c r="CK26" s="184" t="s">
        <v>153</v>
      </c>
      <c r="CL26" s="185"/>
      <c r="CM26" s="186"/>
      <c r="CN26" s="184" t="s">
        <v>44</v>
      </c>
      <c r="CO26" s="185"/>
      <c r="CP26" s="186"/>
      <c r="CQ26" s="184" t="s">
        <v>44</v>
      </c>
      <c r="CR26" s="185"/>
      <c r="CS26" s="186"/>
      <c r="CT26" s="184" t="s">
        <v>169</v>
      </c>
      <c r="CU26" s="185"/>
      <c r="CV26" s="186"/>
      <c r="CW26" s="184" t="s">
        <v>169</v>
      </c>
      <c r="CX26" s="185"/>
      <c r="CY26" s="186"/>
      <c r="CZ26" s="184" t="s">
        <v>169</v>
      </c>
      <c r="DA26" s="185"/>
      <c r="DB26" s="186"/>
      <c r="DC26" s="184" t="s">
        <v>169</v>
      </c>
      <c r="DD26" s="185"/>
      <c r="DE26" s="186"/>
      <c r="DF26" s="184" t="s">
        <v>169</v>
      </c>
      <c r="DG26" s="185"/>
      <c r="DH26" s="186"/>
      <c r="DI26" s="184" t="s">
        <v>169</v>
      </c>
      <c r="DJ26" s="185"/>
      <c r="DK26" s="186"/>
      <c r="DL26" s="56"/>
      <c r="DM26" s="56"/>
      <c r="DN26" s="56"/>
      <c r="DO26" s="56"/>
      <c r="DP26" s="56"/>
      <c r="DQ26" s="56"/>
      <c r="DR26" s="20"/>
      <c r="DS26" s="40"/>
      <c r="DT26" s="40"/>
      <c r="DU26" s="40"/>
      <c r="DV26" s="40"/>
      <c r="DW26" s="40"/>
      <c r="DX26" s="40"/>
      <c r="DY26" s="40"/>
    </row>
    <row r="27" spans="1:129" ht="15" customHeight="1" x14ac:dyDescent="0.3">
      <c r="A27" s="20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20"/>
      <c r="BQ27" s="20"/>
      <c r="BR27" s="20"/>
      <c r="BS27" s="20"/>
      <c r="BT27" s="20"/>
      <c r="BU27" s="20"/>
      <c r="BV27" s="20"/>
      <c r="BW27" s="20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18" customHeight="1" x14ac:dyDescent="0.3">
      <c r="A28" s="20"/>
      <c r="B28" s="119" t="s">
        <v>89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42" t="s">
        <v>90</v>
      </c>
      <c r="BQ28" s="142"/>
      <c r="BR28" s="142"/>
      <c r="BS28" s="142"/>
      <c r="BT28" s="142"/>
      <c r="BU28" s="142"/>
      <c r="BV28" s="142"/>
      <c r="BW28" s="142"/>
      <c r="BX28" s="56"/>
      <c r="BY28" s="56"/>
      <c r="BZ28" s="56"/>
      <c r="CA28" s="56"/>
      <c r="CB28" s="149" t="s">
        <v>44</v>
      </c>
      <c r="CC28" s="149"/>
      <c r="CD28" s="149"/>
      <c r="CE28" s="149" t="s">
        <v>54</v>
      </c>
      <c r="CF28" s="149"/>
      <c r="CG28" s="149"/>
      <c r="CH28" s="149" t="s">
        <v>153</v>
      </c>
      <c r="CI28" s="149"/>
      <c r="CJ28" s="149"/>
      <c r="CK28" s="80" t="s">
        <v>55</v>
      </c>
      <c r="CL28" s="80"/>
      <c r="CM28" s="80"/>
      <c r="CN28" s="80" t="s">
        <v>53</v>
      </c>
      <c r="CO28" s="80"/>
      <c r="CP28" s="80"/>
      <c r="CQ28" s="80" t="s">
        <v>151</v>
      </c>
      <c r="CR28" s="80"/>
      <c r="CS28" s="80"/>
      <c r="CT28" s="80" t="s">
        <v>151</v>
      </c>
      <c r="CU28" s="80"/>
      <c r="CV28" s="80"/>
      <c r="CW28" s="80" t="s">
        <v>169</v>
      </c>
      <c r="CX28" s="80"/>
      <c r="CY28" s="80"/>
      <c r="CZ28" s="80" t="s">
        <v>169</v>
      </c>
      <c r="DA28" s="80"/>
      <c r="DB28" s="80"/>
      <c r="DC28" s="80" t="s">
        <v>169</v>
      </c>
      <c r="DD28" s="80"/>
      <c r="DE28" s="80"/>
      <c r="DF28" s="80" t="s">
        <v>169</v>
      </c>
      <c r="DG28" s="80"/>
      <c r="DH28" s="80"/>
      <c r="DI28" s="80" t="s">
        <v>169</v>
      </c>
      <c r="DJ28" s="80"/>
      <c r="DK28" s="80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15" customHeight="1" x14ac:dyDescent="0.3">
      <c r="A29" s="20"/>
      <c r="B29" s="17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18" customHeight="1" x14ac:dyDescent="0.3">
      <c r="A30" s="20"/>
      <c r="B30" s="175" t="s">
        <v>91</v>
      </c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42" t="s">
        <v>92</v>
      </c>
      <c r="BQ30" s="142"/>
      <c r="BR30" s="142"/>
      <c r="BS30" s="142"/>
      <c r="BT30" s="142"/>
      <c r="BU30" s="142"/>
      <c r="BV30" s="142"/>
      <c r="BW30" s="142"/>
      <c r="BX30" s="56"/>
      <c r="BY30" s="56"/>
      <c r="BZ30" s="56"/>
      <c r="CA30" s="56"/>
      <c r="CB30" s="149" t="s">
        <v>55</v>
      </c>
      <c r="CC30" s="149"/>
      <c r="CD30" s="149"/>
      <c r="CE30" s="149" t="s">
        <v>55</v>
      </c>
      <c r="CF30" s="149"/>
      <c r="CG30" s="149"/>
      <c r="CH30" s="149" t="s">
        <v>153</v>
      </c>
      <c r="CI30" s="149"/>
      <c r="CJ30" s="149"/>
      <c r="CK30" s="80" t="s">
        <v>55</v>
      </c>
      <c r="CL30" s="80"/>
      <c r="CM30" s="80"/>
      <c r="CN30" s="80" t="s">
        <v>153</v>
      </c>
      <c r="CO30" s="80"/>
      <c r="CP30" s="80"/>
      <c r="CQ30" s="80" t="s">
        <v>164</v>
      </c>
      <c r="CR30" s="80"/>
      <c r="CS30" s="80"/>
      <c r="CT30" s="80" t="s">
        <v>53</v>
      </c>
      <c r="CU30" s="80"/>
      <c r="CV30" s="80"/>
      <c r="CW30" s="80" t="s">
        <v>169</v>
      </c>
      <c r="CX30" s="80"/>
      <c r="CY30" s="80"/>
      <c r="CZ30" s="80" t="s">
        <v>169</v>
      </c>
      <c r="DA30" s="80"/>
      <c r="DB30" s="80"/>
      <c r="DC30" s="80" t="s">
        <v>169</v>
      </c>
      <c r="DD30" s="80"/>
      <c r="DE30" s="80"/>
      <c r="DF30" s="80" t="s">
        <v>169</v>
      </c>
      <c r="DG30" s="80"/>
      <c r="DH30" s="80"/>
      <c r="DI30" s="80" t="s">
        <v>169</v>
      </c>
      <c r="DJ30" s="80"/>
      <c r="DK30" s="80"/>
      <c r="DL30" s="20"/>
      <c r="DM30" s="20"/>
      <c r="DN30" s="20"/>
      <c r="DO30" s="20"/>
      <c r="DP30" s="20"/>
      <c r="DQ30" s="20"/>
      <c r="DR30" s="20"/>
      <c r="DS30" s="40"/>
      <c r="DT30" s="40"/>
      <c r="DU30" s="40"/>
      <c r="DV30" s="40"/>
      <c r="DW30" s="40"/>
      <c r="DX30" s="40"/>
      <c r="DY30" s="40"/>
    </row>
    <row r="31" spans="1:129" ht="15" customHeight="1" x14ac:dyDescent="0.3">
      <c r="A31" s="20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37"/>
      <c r="CI31" s="37"/>
      <c r="CJ31" s="37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18" customHeight="1" x14ac:dyDescent="0.3">
      <c r="A32" s="20"/>
      <c r="B32" s="175" t="s">
        <v>93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42" t="s">
        <v>94</v>
      </c>
      <c r="BQ32" s="142"/>
      <c r="BR32" s="142"/>
      <c r="BS32" s="142"/>
      <c r="BT32" s="142"/>
      <c r="BU32" s="142"/>
      <c r="BV32" s="142"/>
      <c r="BW32" s="142"/>
      <c r="BX32" s="56"/>
      <c r="BY32" s="56"/>
      <c r="BZ32" s="56"/>
      <c r="CA32" s="56"/>
      <c r="CB32" s="183" t="s">
        <v>53</v>
      </c>
      <c r="CC32" s="183"/>
      <c r="CD32" s="183"/>
      <c r="CE32" s="183" t="s">
        <v>43</v>
      </c>
      <c r="CF32" s="183"/>
      <c r="CG32" s="183"/>
      <c r="CH32" s="183" t="s">
        <v>54</v>
      </c>
      <c r="CI32" s="183"/>
      <c r="CJ32" s="183"/>
      <c r="CK32" s="183" t="s">
        <v>153</v>
      </c>
      <c r="CL32" s="183"/>
      <c r="CM32" s="183"/>
      <c r="CN32" s="183" t="s">
        <v>153</v>
      </c>
      <c r="CO32" s="183"/>
      <c r="CP32" s="183"/>
      <c r="CQ32" s="183" t="s">
        <v>44</v>
      </c>
      <c r="CR32" s="183"/>
      <c r="CS32" s="183"/>
      <c r="CT32" s="183" t="s">
        <v>151</v>
      </c>
      <c r="CU32" s="183"/>
      <c r="CV32" s="183"/>
      <c r="CW32" s="183" t="s">
        <v>169</v>
      </c>
      <c r="CX32" s="183"/>
      <c r="CY32" s="183"/>
      <c r="CZ32" s="183" t="s">
        <v>169</v>
      </c>
      <c r="DA32" s="183"/>
      <c r="DB32" s="183"/>
      <c r="DC32" s="80" t="s">
        <v>169</v>
      </c>
      <c r="DD32" s="80"/>
      <c r="DE32" s="80"/>
      <c r="DF32" s="80" t="s">
        <v>169</v>
      </c>
      <c r="DG32" s="80"/>
      <c r="DH32" s="80"/>
      <c r="DI32" s="80" t="s">
        <v>169</v>
      </c>
      <c r="DJ32" s="80"/>
      <c r="DK32" s="80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21.75" customHeight="1" x14ac:dyDescent="0.3">
      <c r="A33" s="20"/>
      <c r="B33" s="175" t="s">
        <v>51</v>
      </c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55"/>
      <c r="BQ33" s="55"/>
      <c r="BR33" s="55"/>
      <c r="BS33" s="55"/>
      <c r="BT33" s="55"/>
      <c r="BU33" s="55"/>
      <c r="BV33" s="55"/>
      <c r="BW33" s="55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F33" s="56"/>
      <c r="DG33" s="56"/>
      <c r="DH33" s="56"/>
      <c r="DI33" s="56"/>
      <c r="DJ33" s="56"/>
      <c r="DK33" s="56"/>
      <c r="DL33" s="20"/>
      <c r="DM33" s="20"/>
      <c r="DN33" s="20"/>
      <c r="DO33" s="20"/>
      <c r="DP33" s="20"/>
      <c r="DQ33" s="20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189" t="s">
        <v>88</v>
      </c>
      <c r="C34" s="189"/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189"/>
      <c r="AP34" s="189"/>
      <c r="AQ34" s="189"/>
      <c r="AR34" s="189"/>
      <c r="AS34" s="189"/>
      <c r="AT34" s="189"/>
      <c r="AU34" s="189"/>
      <c r="AV34" s="189"/>
      <c r="AW34" s="189"/>
      <c r="AX34" s="189"/>
      <c r="AY34" s="189"/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7" t="s">
        <v>78</v>
      </c>
      <c r="BQ34" s="187"/>
      <c r="BR34" s="187"/>
      <c r="BS34" s="187"/>
      <c r="BT34" s="187"/>
      <c r="BU34" s="187"/>
      <c r="BV34" s="187"/>
      <c r="BW34" s="187"/>
      <c r="BX34" s="68"/>
      <c r="BY34" s="68"/>
      <c r="BZ34" s="68"/>
      <c r="CA34" s="68"/>
      <c r="CB34" s="188" t="s">
        <v>151</v>
      </c>
      <c r="CC34" s="188"/>
      <c r="CD34" s="188"/>
      <c r="CE34" s="95" t="s">
        <v>6</v>
      </c>
      <c r="CF34" s="95"/>
      <c r="CG34" s="95"/>
      <c r="CH34" s="188" t="s">
        <v>43</v>
      </c>
      <c r="CI34" s="188"/>
      <c r="CJ34" s="188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8" customHeight="1" x14ac:dyDescent="0.3">
      <c r="A35" s="20"/>
      <c r="B35" s="17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6"/>
      <c r="BQ35" s="16"/>
      <c r="BR35" s="16"/>
      <c r="BS35" s="16"/>
      <c r="BT35" s="16"/>
      <c r="BU35" s="16"/>
      <c r="BV35" s="16"/>
      <c r="BW35" s="16"/>
      <c r="BX35" s="56"/>
      <c r="BY35" s="56"/>
      <c r="BZ35" s="56"/>
      <c r="CA35" s="56"/>
      <c r="CB35" s="54"/>
      <c r="CC35" s="54"/>
      <c r="CD35" s="54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18" customHeight="1" x14ac:dyDescent="0.3">
      <c r="A36" s="20"/>
      <c r="B36" s="189" t="s">
        <v>89</v>
      </c>
      <c r="C36" s="189"/>
      <c r="D36" s="189"/>
      <c r="E36" s="189"/>
      <c r="F36" s="189"/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/>
      <c r="AE36" s="189"/>
      <c r="AF36" s="189"/>
      <c r="AG36" s="189"/>
      <c r="AH36" s="189"/>
      <c r="AI36" s="189"/>
      <c r="AJ36" s="189"/>
      <c r="AK36" s="189"/>
      <c r="AL36" s="189"/>
      <c r="AM36" s="189"/>
      <c r="AN36" s="189"/>
      <c r="AO36" s="189"/>
      <c r="AP36" s="189"/>
      <c r="AQ36" s="189"/>
      <c r="AR36" s="189"/>
      <c r="AS36" s="189"/>
      <c r="AT36" s="189"/>
      <c r="AU36" s="189"/>
      <c r="AV36" s="189"/>
      <c r="AW36" s="189"/>
      <c r="AX36" s="189"/>
      <c r="AY36" s="189"/>
      <c r="AZ36" s="189"/>
      <c r="BA36" s="189"/>
      <c r="BB36" s="189"/>
      <c r="BC36" s="189"/>
      <c r="BD36" s="189"/>
      <c r="BE36" s="189"/>
      <c r="BF36" s="189"/>
      <c r="BG36" s="189"/>
      <c r="BH36" s="189"/>
      <c r="BI36" s="189"/>
      <c r="BJ36" s="189"/>
      <c r="BK36" s="189"/>
      <c r="BL36" s="189"/>
      <c r="BM36" s="189"/>
      <c r="BN36" s="189"/>
      <c r="BO36" s="189"/>
      <c r="BP36" s="187" t="s">
        <v>148</v>
      </c>
      <c r="BQ36" s="187"/>
      <c r="BR36" s="187"/>
      <c r="BS36" s="187"/>
      <c r="BT36" s="187"/>
      <c r="BU36" s="187"/>
      <c r="BV36" s="187"/>
      <c r="BW36" s="187"/>
      <c r="BX36" s="68"/>
      <c r="BY36" s="68"/>
      <c r="BZ36" s="68"/>
      <c r="CA36" s="68"/>
      <c r="CB36" s="188" t="s">
        <v>151</v>
      </c>
      <c r="CC36" s="188"/>
      <c r="CD36" s="188"/>
      <c r="CE36" s="95" t="s">
        <v>6</v>
      </c>
      <c r="CF36" s="95"/>
      <c r="CG36" s="95"/>
      <c r="CH36" s="188" t="s">
        <v>43</v>
      </c>
      <c r="CI36" s="188"/>
      <c r="CJ36" s="188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18" customHeight="1" x14ac:dyDescent="0.3">
      <c r="A37" s="20"/>
      <c r="B37" s="17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20"/>
      <c r="BQ37" s="16"/>
      <c r="BR37" s="16"/>
      <c r="BS37" s="16"/>
      <c r="BT37" s="16"/>
      <c r="BU37" s="16"/>
      <c r="BV37" s="16"/>
      <c r="BW37" s="16"/>
      <c r="BX37" s="56"/>
      <c r="BY37" s="56"/>
      <c r="BZ37" s="56"/>
      <c r="CA37" s="56"/>
      <c r="CB37" s="54"/>
      <c r="CC37" s="54"/>
      <c r="CD37" s="54"/>
      <c r="CE37" s="37"/>
      <c r="CF37" s="37"/>
      <c r="CG37" s="37"/>
      <c r="CH37" s="37"/>
      <c r="CI37" s="37"/>
      <c r="CJ37" s="37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  <c r="DV37" s="40"/>
      <c r="DW37" s="40"/>
      <c r="DX37" s="40"/>
      <c r="DY37" s="40"/>
    </row>
    <row r="38" spans="1:129" ht="18" customHeight="1" x14ac:dyDescent="0.3">
      <c r="A38" s="20"/>
      <c r="B38" s="175" t="s">
        <v>91</v>
      </c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87" t="s">
        <v>149</v>
      </c>
      <c r="BQ38" s="187"/>
      <c r="BR38" s="187"/>
      <c r="BS38" s="187"/>
      <c r="BT38" s="187"/>
      <c r="BU38" s="187"/>
      <c r="BV38" s="187"/>
      <c r="BW38" s="187"/>
      <c r="BX38" s="68"/>
      <c r="BY38" s="68"/>
      <c r="BZ38" s="68"/>
      <c r="CA38" s="68"/>
      <c r="CB38" s="188" t="s">
        <v>151</v>
      </c>
      <c r="CC38" s="188"/>
      <c r="CD38" s="188"/>
      <c r="CE38" s="95" t="s">
        <v>6</v>
      </c>
      <c r="CF38" s="95"/>
      <c r="CG38" s="95"/>
      <c r="CH38" s="188" t="s">
        <v>43</v>
      </c>
      <c r="CI38" s="188"/>
      <c r="CJ38" s="188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18" customHeight="1" x14ac:dyDescent="0.3">
      <c r="A39" s="20"/>
      <c r="B39" s="17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20"/>
      <c r="BQ39" s="16"/>
      <c r="BR39" s="16"/>
      <c r="BS39" s="16"/>
      <c r="BT39" s="16"/>
      <c r="BU39" s="16"/>
      <c r="BV39" s="16"/>
      <c r="BW39" s="16"/>
      <c r="BX39" s="56"/>
      <c r="BY39" s="56"/>
      <c r="BZ39" s="56"/>
      <c r="CA39" s="56"/>
      <c r="CB39" s="54"/>
      <c r="CC39" s="54"/>
      <c r="CD39" s="54"/>
      <c r="CE39" s="37"/>
      <c r="CF39" s="37"/>
      <c r="CG39" s="37"/>
      <c r="CH39" s="37"/>
      <c r="CI39" s="37"/>
      <c r="CJ39" s="37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40"/>
      <c r="DT39" s="40"/>
      <c r="DU39" s="40"/>
      <c r="DV39" s="40"/>
      <c r="DW39" s="40"/>
      <c r="DX39" s="40"/>
      <c r="DY39" s="40"/>
    </row>
    <row r="40" spans="1:129" ht="18" customHeight="1" x14ac:dyDescent="0.3">
      <c r="A40" s="20"/>
      <c r="B40" s="175" t="s">
        <v>93</v>
      </c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87" t="s">
        <v>150</v>
      </c>
      <c r="BQ40" s="187"/>
      <c r="BR40" s="187"/>
      <c r="BS40" s="187"/>
      <c r="BT40" s="187"/>
      <c r="BU40" s="187"/>
      <c r="BV40" s="187"/>
      <c r="BW40" s="187"/>
      <c r="BX40" s="68"/>
      <c r="BY40" s="68"/>
      <c r="BZ40" s="68"/>
      <c r="CA40" s="68"/>
      <c r="CB40" s="188" t="s">
        <v>151</v>
      </c>
      <c r="CC40" s="188"/>
      <c r="CD40" s="188"/>
      <c r="CE40" s="95" t="s">
        <v>6</v>
      </c>
      <c r="CF40" s="95"/>
      <c r="CG40" s="95"/>
      <c r="CH40" s="188" t="s">
        <v>43</v>
      </c>
      <c r="CI40" s="188"/>
      <c r="CJ40" s="188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15" customHeight="1" x14ac:dyDescent="0.3">
      <c r="A41" s="20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20"/>
      <c r="DS41" s="40"/>
      <c r="DT41" s="40"/>
      <c r="DU41" s="40"/>
      <c r="DV41" s="40"/>
      <c r="DW41" s="40"/>
      <c r="DX41" s="40"/>
      <c r="DY41" s="40"/>
    </row>
    <row r="42" spans="1:129" ht="12" customHeight="1" x14ac:dyDescent="0.3">
      <c r="A42" s="5"/>
      <c r="B42" s="81" t="s">
        <v>95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55"/>
      <c r="BQ42" s="55"/>
      <c r="BR42" s="55"/>
      <c r="BS42" s="55"/>
      <c r="BT42" s="55"/>
      <c r="BU42" s="55"/>
      <c r="BV42" s="55"/>
      <c r="BW42" s="55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15" customHeight="1" x14ac:dyDescent="0.3">
      <c r="A43" s="25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55"/>
      <c r="BQ43" s="55"/>
      <c r="BR43" s="55"/>
      <c r="BS43" s="55"/>
      <c r="BT43" s="55"/>
      <c r="BU43" s="55"/>
      <c r="BV43" s="55"/>
      <c r="BW43" s="55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9" customHeight="1" x14ac:dyDescent="0.3">
      <c r="A44" s="25"/>
      <c r="B44" s="119" t="s">
        <v>88</v>
      </c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42" t="s">
        <v>97</v>
      </c>
      <c r="BQ44" s="142"/>
      <c r="BR44" s="142"/>
      <c r="BS44" s="142"/>
      <c r="BT44" s="142"/>
      <c r="BU44" s="142"/>
      <c r="BV44" s="142"/>
      <c r="BW44" s="142"/>
      <c r="BX44" s="56"/>
      <c r="BY44" s="56"/>
      <c r="BZ44" s="56"/>
      <c r="CA44" s="56"/>
      <c r="CB44" s="143" t="s">
        <v>53</v>
      </c>
      <c r="CC44" s="144"/>
      <c r="CD44" s="145"/>
      <c r="CE44" s="143" t="s">
        <v>151</v>
      </c>
      <c r="CF44" s="144"/>
      <c r="CG44" s="145"/>
      <c r="CH44" s="143" t="s">
        <v>44</v>
      </c>
      <c r="CI44" s="144"/>
      <c r="CJ44" s="145"/>
      <c r="CK44" s="143" t="s">
        <v>151</v>
      </c>
      <c r="CL44" s="144"/>
      <c r="CM44" s="145"/>
      <c r="CN44" s="143" t="s">
        <v>53</v>
      </c>
      <c r="CO44" s="144"/>
      <c r="CP44" s="145"/>
      <c r="CQ44" s="143" t="s">
        <v>169</v>
      </c>
      <c r="CR44" s="144"/>
      <c r="CS44" s="145"/>
      <c r="CT44" s="143" t="s">
        <v>169</v>
      </c>
      <c r="CU44" s="144"/>
      <c r="CV44" s="145"/>
      <c r="CW44" s="143" t="s">
        <v>169</v>
      </c>
      <c r="CX44" s="144"/>
      <c r="CY44" s="145"/>
      <c r="CZ44" s="143" t="s">
        <v>169</v>
      </c>
      <c r="DA44" s="144"/>
      <c r="DB44" s="145"/>
      <c r="DC44" s="143" t="s">
        <v>169</v>
      </c>
      <c r="DD44" s="144"/>
      <c r="DE44" s="145"/>
      <c r="DF44" s="143" t="s">
        <v>169</v>
      </c>
      <c r="DG44" s="144"/>
      <c r="DH44" s="145"/>
      <c r="DI44" s="143" t="s">
        <v>169</v>
      </c>
      <c r="DJ44" s="144"/>
      <c r="DK44" s="145"/>
      <c r="DL44" s="32"/>
      <c r="DM44" s="32"/>
      <c r="DN44" s="32"/>
      <c r="DO44" s="32"/>
      <c r="DP44" s="32"/>
      <c r="DQ44" s="32"/>
      <c r="DR44" s="20"/>
      <c r="DS44" s="40"/>
      <c r="DT44" s="40"/>
      <c r="DU44" s="40"/>
      <c r="DV44" s="40"/>
      <c r="DW44" s="40"/>
      <c r="DX44" s="40"/>
      <c r="DY44" s="40"/>
    </row>
    <row r="45" spans="1:129" ht="9" customHeight="1" x14ac:dyDescent="0.3">
      <c r="A45" s="25"/>
      <c r="B45" s="110" t="s">
        <v>96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42"/>
      <c r="BQ45" s="142"/>
      <c r="BR45" s="142"/>
      <c r="BS45" s="142"/>
      <c r="BT45" s="142"/>
      <c r="BU45" s="142"/>
      <c r="BV45" s="142"/>
      <c r="BW45" s="142"/>
      <c r="BX45" s="56"/>
      <c r="BY45" s="56"/>
      <c r="BZ45" s="56"/>
      <c r="CA45" s="56"/>
      <c r="CB45" s="146"/>
      <c r="CC45" s="147"/>
      <c r="CD45" s="148"/>
      <c r="CE45" s="146"/>
      <c r="CF45" s="147"/>
      <c r="CG45" s="148"/>
      <c r="CH45" s="146"/>
      <c r="CI45" s="147"/>
      <c r="CJ45" s="148"/>
      <c r="CK45" s="146"/>
      <c r="CL45" s="147"/>
      <c r="CM45" s="148"/>
      <c r="CN45" s="146"/>
      <c r="CO45" s="147"/>
      <c r="CP45" s="148"/>
      <c r="CQ45" s="146"/>
      <c r="CR45" s="147"/>
      <c r="CS45" s="148"/>
      <c r="CT45" s="146"/>
      <c r="CU45" s="147"/>
      <c r="CV45" s="148"/>
      <c r="CW45" s="146"/>
      <c r="CX45" s="147"/>
      <c r="CY45" s="148"/>
      <c r="CZ45" s="146"/>
      <c r="DA45" s="147"/>
      <c r="DB45" s="148"/>
      <c r="DC45" s="146"/>
      <c r="DD45" s="147"/>
      <c r="DE45" s="148"/>
      <c r="DF45" s="146"/>
      <c r="DG45" s="147"/>
      <c r="DH45" s="148"/>
      <c r="DI45" s="146"/>
      <c r="DJ45" s="147"/>
      <c r="DK45" s="148"/>
      <c r="DL45" s="20"/>
      <c r="DM45" s="20"/>
      <c r="DN45" s="20"/>
      <c r="DO45" s="20"/>
      <c r="DP45" s="20"/>
      <c r="DQ45" s="20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5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40"/>
      <c r="DT46" s="40"/>
      <c r="DU46" s="40"/>
      <c r="DV46" s="40"/>
      <c r="DW46" s="40"/>
      <c r="DX46" s="40"/>
      <c r="DY46" s="40"/>
    </row>
    <row r="47" spans="1:129" ht="9" customHeight="1" x14ac:dyDescent="0.3">
      <c r="A47" s="20"/>
      <c r="B47" s="175" t="s">
        <v>89</v>
      </c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75"/>
      <c r="BI47" s="175"/>
      <c r="BJ47" s="175"/>
      <c r="BK47" s="175"/>
      <c r="BL47" s="175"/>
      <c r="BM47" s="175"/>
      <c r="BN47" s="175"/>
      <c r="BO47" s="175"/>
      <c r="BP47" s="142" t="s">
        <v>99</v>
      </c>
      <c r="BQ47" s="142"/>
      <c r="BR47" s="142"/>
      <c r="BS47" s="142"/>
      <c r="BT47" s="142"/>
      <c r="BU47" s="142"/>
      <c r="BV47" s="142"/>
      <c r="BW47" s="142"/>
      <c r="BX47" s="56"/>
      <c r="BY47" s="56"/>
      <c r="BZ47" s="56"/>
      <c r="CA47" s="56"/>
      <c r="CB47" s="143" t="s">
        <v>152</v>
      </c>
      <c r="CC47" s="144"/>
      <c r="CD47" s="145"/>
      <c r="CE47" s="143" t="s">
        <v>152</v>
      </c>
      <c r="CF47" s="144"/>
      <c r="CG47" s="145"/>
      <c r="CH47" s="143" t="s">
        <v>53</v>
      </c>
      <c r="CI47" s="144"/>
      <c r="CJ47" s="145"/>
      <c r="CK47" s="143" t="s">
        <v>54</v>
      </c>
      <c r="CL47" s="144"/>
      <c r="CM47" s="145"/>
      <c r="CN47" s="143" t="s">
        <v>55</v>
      </c>
      <c r="CO47" s="144"/>
      <c r="CP47" s="145"/>
      <c r="CQ47" s="143" t="s">
        <v>169</v>
      </c>
      <c r="CR47" s="144"/>
      <c r="CS47" s="145"/>
      <c r="CT47" s="143" t="s">
        <v>169</v>
      </c>
      <c r="CU47" s="144"/>
      <c r="CV47" s="145"/>
      <c r="CW47" s="143" t="s">
        <v>169</v>
      </c>
      <c r="CX47" s="144"/>
      <c r="CY47" s="145"/>
      <c r="CZ47" s="143" t="s">
        <v>169</v>
      </c>
      <c r="DA47" s="144"/>
      <c r="DB47" s="145"/>
      <c r="DC47" s="143" t="s">
        <v>169</v>
      </c>
      <c r="DD47" s="144"/>
      <c r="DE47" s="145"/>
      <c r="DF47" s="143" t="s">
        <v>169</v>
      </c>
      <c r="DG47" s="144"/>
      <c r="DH47" s="145"/>
      <c r="DI47" s="143" t="s">
        <v>169</v>
      </c>
      <c r="DJ47" s="144"/>
      <c r="DK47" s="145"/>
      <c r="DL47" s="20"/>
      <c r="DM47" s="20"/>
      <c r="DN47" s="20"/>
      <c r="DO47" s="20"/>
      <c r="DP47" s="20"/>
      <c r="DQ47" s="20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10" t="s">
        <v>98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42"/>
      <c r="BQ48" s="142"/>
      <c r="BR48" s="142"/>
      <c r="BS48" s="142"/>
      <c r="BT48" s="142"/>
      <c r="BU48" s="142"/>
      <c r="BV48" s="142"/>
      <c r="BW48" s="142"/>
      <c r="BX48" s="56"/>
      <c r="BY48" s="56"/>
      <c r="BZ48" s="56"/>
      <c r="CA48" s="56"/>
      <c r="CB48" s="146"/>
      <c r="CC48" s="147"/>
      <c r="CD48" s="148"/>
      <c r="CE48" s="146"/>
      <c r="CF48" s="147"/>
      <c r="CG48" s="148"/>
      <c r="CH48" s="146"/>
      <c r="CI48" s="147"/>
      <c r="CJ48" s="148"/>
      <c r="CK48" s="146"/>
      <c r="CL48" s="147"/>
      <c r="CM48" s="148"/>
      <c r="CN48" s="146"/>
      <c r="CO48" s="147"/>
      <c r="CP48" s="148"/>
      <c r="CQ48" s="146"/>
      <c r="CR48" s="147"/>
      <c r="CS48" s="148"/>
      <c r="CT48" s="146"/>
      <c r="CU48" s="147"/>
      <c r="CV48" s="148"/>
      <c r="CW48" s="146"/>
      <c r="CX48" s="147"/>
      <c r="CY48" s="148"/>
      <c r="CZ48" s="146"/>
      <c r="DA48" s="147"/>
      <c r="DB48" s="148"/>
      <c r="DC48" s="146"/>
      <c r="DD48" s="147"/>
      <c r="DE48" s="148"/>
      <c r="DF48" s="146"/>
      <c r="DG48" s="147"/>
      <c r="DH48" s="148"/>
      <c r="DI48" s="146"/>
      <c r="DJ48" s="147"/>
      <c r="DK48" s="148"/>
      <c r="DL48" s="51"/>
      <c r="DM48" s="51"/>
      <c r="DN48" s="51"/>
      <c r="DO48" s="51"/>
      <c r="DP48" s="51"/>
      <c r="DQ48" s="51"/>
      <c r="DR48" s="20"/>
      <c r="DS48" s="40"/>
      <c r="DT48" s="40"/>
      <c r="DU48" s="40"/>
      <c r="DV48" s="40"/>
      <c r="DW48" s="40"/>
      <c r="DX48" s="40"/>
      <c r="DY48" s="40"/>
    </row>
    <row r="49" spans="1:129" ht="15" customHeight="1" x14ac:dyDescent="0.3">
      <c r="A49" s="20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75"/>
      <c r="BI49" s="175"/>
      <c r="BJ49" s="175"/>
      <c r="BK49" s="175"/>
      <c r="BL49" s="175"/>
      <c r="BM49" s="175"/>
      <c r="BN49" s="175"/>
      <c r="BO49" s="175"/>
      <c r="BP49" s="55"/>
      <c r="BQ49" s="55"/>
      <c r="BR49" s="55"/>
      <c r="BS49" s="55"/>
      <c r="BT49" s="55"/>
      <c r="BU49" s="55"/>
      <c r="BV49" s="55"/>
      <c r="BW49" s="55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20"/>
      <c r="DM49" s="20"/>
      <c r="DN49" s="20"/>
      <c r="DO49" s="20"/>
      <c r="DP49" s="20"/>
      <c r="DQ49" s="20"/>
      <c r="DR49" s="20"/>
      <c r="DS49" s="40"/>
      <c r="DT49" s="40"/>
      <c r="DU49" s="40"/>
      <c r="DV49" s="40"/>
      <c r="DW49" s="40"/>
      <c r="DX49" s="40"/>
      <c r="DY49" s="40"/>
    </row>
    <row r="50" spans="1:129" ht="9" customHeight="1" x14ac:dyDescent="0.3">
      <c r="A50" s="20"/>
      <c r="B50" s="175" t="s">
        <v>91</v>
      </c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75"/>
      <c r="BI50" s="175"/>
      <c r="BJ50" s="175"/>
      <c r="BK50" s="175"/>
      <c r="BL50" s="175"/>
      <c r="BM50" s="175"/>
      <c r="BN50" s="175"/>
      <c r="BO50" s="175"/>
      <c r="BP50" s="142" t="s">
        <v>102</v>
      </c>
      <c r="BQ50" s="142"/>
      <c r="BR50" s="142"/>
      <c r="BS50" s="142"/>
      <c r="BT50" s="142"/>
      <c r="BU50" s="142"/>
      <c r="BV50" s="142"/>
      <c r="BW50" s="142"/>
      <c r="BX50" s="56"/>
      <c r="BY50" s="56"/>
      <c r="BZ50" s="56"/>
      <c r="CA50" s="56"/>
      <c r="CB50" s="143" t="s">
        <v>44</v>
      </c>
      <c r="CC50" s="144"/>
      <c r="CD50" s="145"/>
      <c r="CE50" s="143" t="s">
        <v>53</v>
      </c>
      <c r="CF50" s="144"/>
      <c r="CG50" s="145"/>
      <c r="CH50" s="143" t="s">
        <v>151</v>
      </c>
      <c r="CI50" s="144"/>
      <c r="CJ50" s="145"/>
      <c r="CK50" s="143" t="s">
        <v>53</v>
      </c>
      <c r="CL50" s="144"/>
      <c r="CM50" s="145"/>
      <c r="CN50" s="143" t="s">
        <v>151</v>
      </c>
      <c r="CO50" s="144"/>
      <c r="CP50" s="145"/>
      <c r="CQ50" s="143" t="s">
        <v>152</v>
      </c>
      <c r="CR50" s="144"/>
      <c r="CS50" s="145"/>
      <c r="CT50" s="143" t="s">
        <v>169</v>
      </c>
      <c r="CU50" s="144"/>
      <c r="CV50" s="145"/>
      <c r="CW50" s="143" t="s">
        <v>169</v>
      </c>
      <c r="CX50" s="144"/>
      <c r="CY50" s="145"/>
      <c r="CZ50" s="143" t="s">
        <v>169</v>
      </c>
      <c r="DA50" s="144"/>
      <c r="DB50" s="145"/>
      <c r="DC50" s="143" t="s">
        <v>169</v>
      </c>
      <c r="DD50" s="144"/>
      <c r="DE50" s="145"/>
      <c r="DF50" s="143" t="s">
        <v>169</v>
      </c>
      <c r="DG50" s="144"/>
      <c r="DH50" s="145"/>
      <c r="DI50" s="143" t="s">
        <v>169</v>
      </c>
      <c r="DJ50" s="144"/>
      <c r="DK50" s="145"/>
      <c r="DL50" s="32"/>
      <c r="DM50" s="32"/>
      <c r="DN50" s="32"/>
      <c r="DO50" s="32"/>
      <c r="DP50" s="32"/>
      <c r="DQ50" s="32"/>
      <c r="DR50" s="20"/>
      <c r="DS50" s="40"/>
      <c r="DT50" s="40"/>
      <c r="DU50" s="40"/>
      <c r="DV50" s="40"/>
      <c r="DW50" s="40"/>
      <c r="DX50" s="40"/>
      <c r="DY50" s="40"/>
    </row>
    <row r="51" spans="1:129" ht="9" customHeight="1" x14ac:dyDescent="0.3">
      <c r="A51" s="20"/>
      <c r="B51" s="110" t="s">
        <v>100</v>
      </c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42"/>
      <c r="BQ51" s="142"/>
      <c r="BR51" s="142"/>
      <c r="BS51" s="142"/>
      <c r="BT51" s="142"/>
      <c r="BU51" s="142"/>
      <c r="BV51" s="142"/>
      <c r="BW51" s="142"/>
      <c r="BX51" s="56"/>
      <c r="BY51" s="56"/>
      <c r="BZ51" s="56"/>
      <c r="CA51" s="56"/>
      <c r="CB51" s="146"/>
      <c r="CC51" s="147"/>
      <c r="CD51" s="148"/>
      <c r="CE51" s="146"/>
      <c r="CF51" s="147"/>
      <c r="CG51" s="148"/>
      <c r="CH51" s="146"/>
      <c r="CI51" s="147"/>
      <c r="CJ51" s="148"/>
      <c r="CK51" s="146"/>
      <c r="CL51" s="147"/>
      <c r="CM51" s="148"/>
      <c r="CN51" s="146"/>
      <c r="CO51" s="147"/>
      <c r="CP51" s="148"/>
      <c r="CQ51" s="146"/>
      <c r="CR51" s="147"/>
      <c r="CS51" s="148"/>
      <c r="CT51" s="146"/>
      <c r="CU51" s="147"/>
      <c r="CV51" s="148"/>
      <c r="CW51" s="146"/>
      <c r="CX51" s="147"/>
      <c r="CY51" s="148"/>
      <c r="CZ51" s="146"/>
      <c r="DA51" s="147"/>
      <c r="DB51" s="148"/>
      <c r="DC51" s="146"/>
      <c r="DD51" s="147"/>
      <c r="DE51" s="148"/>
      <c r="DF51" s="146"/>
      <c r="DG51" s="147"/>
      <c r="DH51" s="148"/>
      <c r="DI51" s="146"/>
      <c r="DJ51" s="147"/>
      <c r="DK51" s="148"/>
      <c r="DL51" s="20"/>
      <c r="DM51" s="20"/>
      <c r="DN51" s="20"/>
      <c r="DO51" s="20"/>
      <c r="DP51" s="20"/>
      <c r="DQ51" s="20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  <c r="DV52" s="40"/>
      <c r="DW52" s="40"/>
      <c r="DX52" s="40"/>
      <c r="DY52" s="40"/>
    </row>
    <row r="53" spans="1:129" ht="9" customHeight="1" x14ac:dyDescent="0.3">
      <c r="A53" s="20"/>
      <c r="B53" s="175" t="s">
        <v>93</v>
      </c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75"/>
      <c r="BI53" s="175"/>
      <c r="BJ53" s="175"/>
      <c r="BK53" s="175"/>
      <c r="BL53" s="175"/>
      <c r="BM53" s="175"/>
      <c r="BN53" s="175"/>
      <c r="BO53" s="175"/>
      <c r="BP53" s="142" t="s">
        <v>103</v>
      </c>
      <c r="BQ53" s="142"/>
      <c r="BR53" s="142"/>
      <c r="BS53" s="142"/>
      <c r="BT53" s="142"/>
      <c r="BU53" s="142"/>
      <c r="BV53" s="142"/>
      <c r="BW53" s="142"/>
      <c r="BX53" s="56"/>
      <c r="BY53" s="56"/>
      <c r="BZ53" s="56"/>
      <c r="CA53" s="56"/>
      <c r="CB53" s="143" t="s">
        <v>44</v>
      </c>
      <c r="CC53" s="144"/>
      <c r="CD53" s="145"/>
      <c r="CE53" s="143" t="s">
        <v>152</v>
      </c>
      <c r="CF53" s="144"/>
      <c r="CG53" s="145"/>
      <c r="CH53" s="143" t="s">
        <v>55</v>
      </c>
      <c r="CI53" s="144"/>
      <c r="CJ53" s="145"/>
      <c r="CK53" s="143" t="s">
        <v>152</v>
      </c>
      <c r="CL53" s="144"/>
      <c r="CM53" s="145"/>
      <c r="CN53" s="143" t="s">
        <v>151</v>
      </c>
      <c r="CO53" s="144"/>
      <c r="CP53" s="145"/>
      <c r="CQ53" s="143" t="s">
        <v>53</v>
      </c>
      <c r="CR53" s="144"/>
      <c r="CS53" s="145"/>
      <c r="CT53" s="143" t="s">
        <v>169</v>
      </c>
      <c r="CU53" s="144"/>
      <c r="CV53" s="145"/>
      <c r="CW53" s="143" t="s">
        <v>169</v>
      </c>
      <c r="CX53" s="144"/>
      <c r="CY53" s="145"/>
      <c r="CZ53" s="143" t="s">
        <v>169</v>
      </c>
      <c r="DA53" s="144"/>
      <c r="DB53" s="145"/>
      <c r="DC53" s="143" t="s">
        <v>169</v>
      </c>
      <c r="DD53" s="144"/>
      <c r="DE53" s="145"/>
      <c r="DF53" s="143" t="s">
        <v>169</v>
      </c>
      <c r="DG53" s="144"/>
      <c r="DH53" s="145"/>
      <c r="DI53" s="143" t="s">
        <v>169</v>
      </c>
      <c r="DJ53" s="144"/>
      <c r="DK53" s="145"/>
      <c r="DL53" s="20"/>
      <c r="DM53" s="20"/>
      <c r="DN53" s="20"/>
      <c r="DO53" s="20"/>
      <c r="DP53" s="20"/>
      <c r="DQ53" s="20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10" t="s">
        <v>101</v>
      </c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42"/>
      <c r="BQ54" s="142"/>
      <c r="BR54" s="142"/>
      <c r="BS54" s="142"/>
      <c r="BT54" s="142"/>
      <c r="BU54" s="142"/>
      <c r="BV54" s="142"/>
      <c r="BW54" s="142"/>
      <c r="BX54" s="56"/>
      <c r="BY54" s="56"/>
      <c r="BZ54" s="56"/>
      <c r="CA54" s="56"/>
      <c r="CB54" s="146"/>
      <c r="CC54" s="147"/>
      <c r="CD54" s="148"/>
      <c r="CE54" s="146"/>
      <c r="CF54" s="147"/>
      <c r="CG54" s="148"/>
      <c r="CH54" s="146"/>
      <c r="CI54" s="147"/>
      <c r="CJ54" s="148"/>
      <c r="CK54" s="146"/>
      <c r="CL54" s="147"/>
      <c r="CM54" s="148"/>
      <c r="CN54" s="146"/>
      <c r="CO54" s="147"/>
      <c r="CP54" s="148"/>
      <c r="CQ54" s="146"/>
      <c r="CR54" s="147"/>
      <c r="CS54" s="148"/>
      <c r="CT54" s="146"/>
      <c r="CU54" s="147"/>
      <c r="CV54" s="148"/>
      <c r="CW54" s="146"/>
      <c r="CX54" s="147"/>
      <c r="CY54" s="148"/>
      <c r="CZ54" s="146"/>
      <c r="DA54" s="147"/>
      <c r="DB54" s="148"/>
      <c r="DC54" s="146"/>
      <c r="DD54" s="147"/>
      <c r="DE54" s="148"/>
      <c r="DF54" s="146"/>
      <c r="DG54" s="147"/>
      <c r="DH54" s="148"/>
      <c r="DI54" s="146"/>
      <c r="DJ54" s="147"/>
      <c r="DK54" s="148"/>
      <c r="DL54" s="20"/>
      <c r="DM54" s="20"/>
      <c r="DN54" s="20"/>
      <c r="DO54" s="20"/>
      <c r="DP54" s="20"/>
      <c r="DQ54" s="20"/>
      <c r="DR54" s="20"/>
      <c r="DS54" s="40"/>
      <c r="DT54" s="40"/>
      <c r="DU54" s="40"/>
      <c r="DV54" s="40"/>
      <c r="DW54" s="40"/>
      <c r="DX54" s="40"/>
      <c r="DY54" s="40"/>
    </row>
    <row r="55" spans="1:129" ht="15" customHeight="1" x14ac:dyDescent="0.3">
      <c r="A55" s="20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75"/>
      <c r="BI55" s="175"/>
      <c r="BJ55" s="175"/>
      <c r="BK55" s="175"/>
      <c r="BL55" s="175"/>
      <c r="BM55" s="175"/>
      <c r="BN55" s="175"/>
      <c r="BO55" s="175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  <c r="DV55" s="40"/>
      <c r="DW55" s="40"/>
      <c r="DX55" s="40"/>
      <c r="DY55" s="40"/>
    </row>
    <row r="56" spans="1:129" ht="12" customHeight="1" x14ac:dyDescent="0.3">
      <c r="A56" s="20"/>
      <c r="B56" s="119" t="s">
        <v>104</v>
      </c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119"/>
      <c r="BF56" s="119"/>
      <c r="BG56" s="119"/>
      <c r="BH56" s="119"/>
      <c r="BI56" s="119"/>
      <c r="BJ56" s="119"/>
      <c r="BK56" s="119"/>
      <c r="BL56" s="119"/>
      <c r="BM56" s="119"/>
      <c r="BN56" s="119"/>
      <c r="BO56" s="119"/>
      <c r="BP56" s="55"/>
      <c r="BQ56" s="55"/>
      <c r="BR56" s="55"/>
      <c r="BS56" s="55"/>
      <c r="BT56" s="55"/>
      <c r="BU56" s="55"/>
      <c r="BV56" s="55"/>
      <c r="BW56" s="55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20"/>
      <c r="DJ56" s="20"/>
      <c r="DK56" s="20"/>
      <c r="DL56" s="20"/>
      <c r="DM56" s="20"/>
      <c r="DN56" s="20"/>
      <c r="DO56" s="20"/>
      <c r="DP56" s="15"/>
      <c r="DQ56" s="15"/>
      <c r="DR56" s="20"/>
      <c r="DS56" s="40"/>
      <c r="DT56" s="40"/>
      <c r="DU56" s="40"/>
      <c r="DV56" s="40"/>
      <c r="DW56" s="40"/>
      <c r="DX56" s="40"/>
      <c r="DY56" s="40"/>
    </row>
    <row r="57" spans="1:129" ht="12" customHeight="1" x14ac:dyDescent="0.3">
      <c r="A57" s="20"/>
      <c r="B57" s="190" t="s">
        <v>105</v>
      </c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  <c r="X57" s="190"/>
      <c r="Y57" s="190"/>
      <c r="Z57" s="190"/>
      <c r="AA57" s="190"/>
      <c r="AB57" s="190"/>
      <c r="AC57" s="190"/>
      <c r="AD57" s="190"/>
      <c r="AE57" s="190"/>
      <c r="AF57" s="190"/>
      <c r="AG57" s="190"/>
      <c r="AH57" s="190"/>
      <c r="AI57" s="190"/>
      <c r="AJ57" s="190"/>
      <c r="AK57" s="190"/>
      <c r="AL57" s="190"/>
      <c r="AM57" s="190"/>
      <c r="AN57" s="190"/>
      <c r="AO57" s="190"/>
      <c r="AP57" s="190"/>
      <c r="AQ57" s="190"/>
      <c r="AR57" s="190"/>
      <c r="AS57" s="190"/>
      <c r="AT57" s="190"/>
      <c r="AU57" s="190"/>
      <c r="AV57" s="190"/>
      <c r="AW57" s="190"/>
      <c r="AX57" s="190"/>
      <c r="AY57" s="190"/>
      <c r="AZ57" s="190"/>
      <c r="BA57" s="190"/>
      <c r="BB57" s="190"/>
      <c r="BC57" s="190"/>
      <c r="BD57" s="190"/>
      <c r="BE57" s="190"/>
      <c r="BF57" s="190"/>
      <c r="BG57" s="190"/>
      <c r="BH57" s="190"/>
      <c r="BI57" s="190"/>
      <c r="BJ57" s="190"/>
      <c r="BK57" s="190"/>
      <c r="BL57" s="190"/>
      <c r="BM57" s="190"/>
      <c r="BN57" s="190"/>
      <c r="BO57" s="19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15"/>
      <c r="DQ57" s="15"/>
      <c r="DR57" s="20"/>
      <c r="DS57" s="40"/>
      <c r="DT57" s="40"/>
      <c r="DU57" s="40"/>
      <c r="DV57" s="40"/>
      <c r="DW57" s="40"/>
      <c r="DX57" s="40"/>
      <c r="DY57" s="40"/>
    </row>
    <row r="58" spans="1:129" ht="12" customHeight="1" x14ac:dyDescent="0.3">
      <c r="A58" s="20"/>
      <c r="B58" s="190" t="s">
        <v>106</v>
      </c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0"/>
      <c r="AA58" s="190"/>
      <c r="AB58" s="190"/>
      <c r="AC58" s="190"/>
      <c r="AD58" s="190"/>
      <c r="AE58" s="190"/>
      <c r="AF58" s="190"/>
      <c r="AG58" s="190"/>
      <c r="AH58" s="190"/>
      <c r="AI58" s="190"/>
      <c r="AJ58" s="190"/>
      <c r="AK58" s="190"/>
      <c r="AL58" s="190"/>
      <c r="AM58" s="190"/>
      <c r="AN58" s="190"/>
      <c r="AO58" s="190"/>
      <c r="AP58" s="190"/>
      <c r="AQ58" s="190"/>
      <c r="AR58" s="190"/>
      <c r="AS58" s="190"/>
      <c r="AT58" s="190"/>
      <c r="AU58" s="190"/>
      <c r="AV58" s="190"/>
      <c r="AW58" s="190"/>
      <c r="AX58" s="190"/>
      <c r="AY58" s="190"/>
      <c r="AZ58" s="190"/>
      <c r="BA58" s="190"/>
      <c r="BB58" s="190"/>
      <c r="BC58" s="190"/>
      <c r="BD58" s="190"/>
      <c r="BE58" s="190"/>
      <c r="BF58" s="190"/>
      <c r="BG58" s="190"/>
      <c r="BH58" s="190"/>
      <c r="BI58" s="190"/>
      <c r="BJ58" s="190"/>
      <c r="BK58" s="190"/>
      <c r="BL58" s="190"/>
      <c r="BM58" s="190"/>
      <c r="BN58" s="190"/>
      <c r="BO58" s="19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15"/>
      <c r="DQ58" s="15"/>
      <c r="DR58" s="20"/>
      <c r="DS58" s="40"/>
      <c r="DT58" s="40"/>
      <c r="DU58" s="40"/>
      <c r="DV58" s="40"/>
      <c r="DW58" s="40"/>
      <c r="DX58" s="40"/>
      <c r="DY58" s="40"/>
    </row>
    <row r="59" spans="1:129" ht="12" customHeight="1" x14ac:dyDescent="0.3">
      <c r="A59" s="20"/>
      <c r="B59" s="190" t="s">
        <v>107</v>
      </c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0"/>
      <c r="AB59" s="190"/>
      <c r="AC59" s="190"/>
      <c r="AD59" s="190"/>
      <c r="AE59" s="190"/>
      <c r="AF59" s="190"/>
      <c r="AG59" s="190"/>
      <c r="AH59" s="190"/>
      <c r="AI59" s="190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0"/>
      <c r="AX59" s="190"/>
      <c r="AY59" s="190"/>
      <c r="AZ59" s="190"/>
      <c r="BA59" s="190"/>
      <c r="BB59" s="190"/>
      <c r="BC59" s="190"/>
      <c r="BD59" s="190"/>
      <c r="BE59" s="190"/>
      <c r="BF59" s="190"/>
      <c r="BG59" s="190"/>
      <c r="BH59" s="190"/>
      <c r="BI59" s="190"/>
      <c r="BJ59" s="190"/>
      <c r="BK59" s="190"/>
      <c r="BL59" s="190"/>
      <c r="BM59" s="190"/>
      <c r="BN59" s="190"/>
      <c r="BO59" s="190"/>
      <c r="BP59" s="55"/>
      <c r="BQ59" s="55"/>
      <c r="BR59" s="55"/>
      <c r="BS59" s="55"/>
      <c r="BT59" s="55"/>
      <c r="BU59" s="55"/>
      <c r="BV59" s="55"/>
      <c r="BW59" s="55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20"/>
      <c r="DM59" s="20"/>
      <c r="DN59" s="20"/>
      <c r="DO59" s="20"/>
      <c r="DP59" s="15"/>
      <c r="DQ59" s="15"/>
      <c r="DR59" s="20"/>
      <c r="DS59" s="40"/>
      <c r="DT59" s="40"/>
      <c r="DU59" s="40"/>
      <c r="DV59" s="40"/>
      <c r="DW59" s="40"/>
      <c r="DX59" s="40"/>
      <c r="DY59" s="40"/>
    </row>
    <row r="60" spans="1:129" ht="12" customHeight="1" x14ac:dyDescent="0.3">
      <c r="A60" s="20"/>
      <c r="B60" s="192" t="s">
        <v>108</v>
      </c>
      <c r="C60" s="192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55"/>
      <c r="BQ60" s="55"/>
      <c r="BR60" s="55"/>
      <c r="BS60" s="55"/>
      <c r="BT60" s="55"/>
      <c r="BU60" s="55"/>
      <c r="BV60" s="55"/>
      <c r="BW60" s="55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"/>
      <c r="DM60" s="5"/>
      <c r="DN60" s="5"/>
      <c r="DO60" s="49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" customHeight="1" x14ac:dyDescent="0.3">
      <c r="A61" s="20"/>
      <c r="B61" s="192" t="s">
        <v>109</v>
      </c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49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" customHeight="1" x14ac:dyDescent="0.3">
      <c r="A62" s="20"/>
      <c r="B62" s="192" t="s">
        <v>110</v>
      </c>
      <c r="C62" s="192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192"/>
      <c r="O62" s="192"/>
      <c r="P62" s="192"/>
      <c r="Q62" s="192"/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49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5" customHeight="1" x14ac:dyDescent="0.3">
      <c r="A63" s="20"/>
      <c r="B63" s="193"/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  <c r="AR63" s="193"/>
      <c r="AS63" s="193"/>
      <c r="AT63" s="193"/>
      <c r="AU63" s="193"/>
      <c r="AV63" s="193"/>
      <c r="AW63" s="193"/>
      <c r="AX63" s="193"/>
      <c r="AY63" s="193"/>
      <c r="AZ63" s="193"/>
      <c r="BA63" s="193"/>
      <c r="BB63" s="193"/>
      <c r="BC63" s="193"/>
      <c r="BD63" s="193"/>
      <c r="BE63" s="193"/>
      <c r="BF63" s="193"/>
      <c r="BG63" s="193"/>
      <c r="BH63" s="193"/>
      <c r="BI63" s="193"/>
      <c r="BJ63" s="193"/>
      <c r="BK63" s="193"/>
      <c r="BL63" s="193"/>
      <c r="BM63" s="193"/>
      <c r="BN63" s="193"/>
      <c r="BO63" s="193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49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9.9" customHeight="1" x14ac:dyDescent="0.3">
      <c r="A64" s="20"/>
      <c r="B64" s="81" t="s">
        <v>88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49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9" customHeight="1" x14ac:dyDescent="0.3">
      <c r="A65" s="20"/>
      <c r="B65" s="194" t="s">
        <v>111</v>
      </c>
      <c r="C65" s="194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42" t="s">
        <v>113</v>
      </c>
      <c r="BQ65" s="142"/>
      <c r="BR65" s="142"/>
      <c r="BS65" s="142"/>
      <c r="BT65" s="142"/>
      <c r="BU65" s="142"/>
      <c r="BV65" s="142"/>
      <c r="BW65" s="142"/>
      <c r="BX65" s="56"/>
      <c r="BY65" s="56"/>
      <c r="BZ65" s="56"/>
      <c r="CA65" s="56"/>
      <c r="CB65" s="143" t="s">
        <v>44</v>
      </c>
      <c r="CC65" s="144"/>
      <c r="CD65" s="145"/>
      <c r="CE65" s="143" t="s">
        <v>43</v>
      </c>
      <c r="CF65" s="144"/>
      <c r="CG65" s="145"/>
      <c r="CH65" s="143" t="s">
        <v>55</v>
      </c>
      <c r="CI65" s="144"/>
      <c r="CJ65" s="145"/>
      <c r="CK65" s="143" t="s">
        <v>44</v>
      </c>
      <c r="CL65" s="144"/>
      <c r="CM65" s="145"/>
      <c r="CN65" s="143" t="s">
        <v>164</v>
      </c>
      <c r="CO65" s="144"/>
      <c r="CP65" s="145"/>
      <c r="CQ65" s="143" t="s">
        <v>169</v>
      </c>
      <c r="CR65" s="144"/>
      <c r="CS65" s="145"/>
      <c r="CT65" s="143" t="s">
        <v>169</v>
      </c>
      <c r="CU65" s="144"/>
      <c r="CV65" s="145"/>
      <c r="CW65" s="143" t="s">
        <v>169</v>
      </c>
      <c r="CX65" s="144"/>
      <c r="CY65" s="145"/>
      <c r="CZ65" s="143" t="s">
        <v>169</v>
      </c>
      <c r="DA65" s="144"/>
      <c r="DB65" s="145"/>
      <c r="DC65" s="143" t="s">
        <v>169</v>
      </c>
      <c r="DD65" s="144"/>
      <c r="DE65" s="145"/>
      <c r="DF65" s="143" t="s">
        <v>169</v>
      </c>
      <c r="DG65" s="144"/>
      <c r="DH65" s="145"/>
      <c r="DI65" s="143" t="s">
        <v>169</v>
      </c>
      <c r="DJ65" s="144"/>
      <c r="DK65" s="145"/>
      <c r="DL65" s="5"/>
      <c r="DM65" s="5"/>
      <c r="DN65" s="5"/>
      <c r="DO65" s="49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9" customHeight="1" x14ac:dyDescent="0.3">
      <c r="A66" s="20"/>
      <c r="B66" s="194" t="s">
        <v>112</v>
      </c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42"/>
      <c r="BQ66" s="142"/>
      <c r="BR66" s="142"/>
      <c r="BS66" s="142"/>
      <c r="BT66" s="142"/>
      <c r="BU66" s="142"/>
      <c r="BV66" s="142"/>
      <c r="BW66" s="142"/>
      <c r="BX66" s="56"/>
      <c r="BY66" s="56"/>
      <c r="BZ66" s="56"/>
      <c r="CA66" s="56"/>
      <c r="CB66" s="146"/>
      <c r="CC66" s="147"/>
      <c r="CD66" s="148"/>
      <c r="CE66" s="146"/>
      <c r="CF66" s="147"/>
      <c r="CG66" s="148"/>
      <c r="CH66" s="146"/>
      <c r="CI66" s="147"/>
      <c r="CJ66" s="148"/>
      <c r="CK66" s="146"/>
      <c r="CL66" s="147"/>
      <c r="CM66" s="148"/>
      <c r="CN66" s="146"/>
      <c r="CO66" s="147"/>
      <c r="CP66" s="148"/>
      <c r="CQ66" s="146"/>
      <c r="CR66" s="147"/>
      <c r="CS66" s="148"/>
      <c r="CT66" s="146"/>
      <c r="CU66" s="147"/>
      <c r="CV66" s="148"/>
      <c r="CW66" s="146"/>
      <c r="CX66" s="147"/>
      <c r="CY66" s="148"/>
      <c r="CZ66" s="146"/>
      <c r="DA66" s="147"/>
      <c r="DB66" s="148"/>
      <c r="DC66" s="146"/>
      <c r="DD66" s="147"/>
      <c r="DE66" s="148"/>
      <c r="DF66" s="146"/>
      <c r="DG66" s="147"/>
      <c r="DH66" s="148"/>
      <c r="DI66" s="146"/>
      <c r="DJ66" s="147"/>
      <c r="DK66" s="148"/>
      <c r="DL66" s="5"/>
      <c r="DM66" s="5"/>
      <c r="DN66" s="5"/>
      <c r="DO66" s="49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5" customHeight="1" x14ac:dyDescent="0.3">
      <c r="A67" s="20"/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2"/>
      <c r="BH67" s="192"/>
      <c r="BI67" s="192"/>
      <c r="BJ67" s="192"/>
      <c r="BK67" s="192"/>
      <c r="BL67" s="192"/>
      <c r="BM67" s="192"/>
      <c r="BN67" s="192"/>
      <c r="BO67" s="192"/>
      <c r="BP67" s="55"/>
      <c r="BQ67" s="55"/>
      <c r="BR67" s="55"/>
      <c r="BS67" s="55"/>
      <c r="BT67" s="55"/>
      <c r="BU67" s="55"/>
      <c r="BV67" s="55"/>
      <c r="BW67" s="55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"/>
      <c r="DM67" s="5"/>
      <c r="DN67" s="5"/>
      <c r="DO67" s="49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9.9" customHeight="1" x14ac:dyDescent="0.3">
      <c r="A68" s="20"/>
      <c r="B68" s="81" t="s">
        <v>89</v>
      </c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49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ht="9" customHeight="1" x14ac:dyDescent="0.3">
      <c r="A69" s="20"/>
      <c r="B69" s="194" t="s">
        <v>114</v>
      </c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42" t="s">
        <v>116</v>
      </c>
      <c r="BQ69" s="142"/>
      <c r="BR69" s="142"/>
      <c r="BS69" s="142"/>
      <c r="BT69" s="142"/>
      <c r="BU69" s="142"/>
      <c r="BV69" s="142"/>
      <c r="BW69" s="142"/>
      <c r="BX69" s="56"/>
      <c r="BY69" s="56"/>
      <c r="BZ69" s="56"/>
      <c r="CA69" s="56"/>
      <c r="CB69" s="143" t="s">
        <v>55</v>
      </c>
      <c r="CC69" s="144"/>
      <c r="CD69" s="145"/>
      <c r="CE69" s="143" t="s">
        <v>43</v>
      </c>
      <c r="CF69" s="144"/>
      <c r="CG69" s="145"/>
      <c r="CH69" s="143" t="s">
        <v>54</v>
      </c>
      <c r="CI69" s="144"/>
      <c r="CJ69" s="145"/>
      <c r="CK69" s="143" t="s">
        <v>53</v>
      </c>
      <c r="CL69" s="144"/>
      <c r="CM69" s="145"/>
      <c r="CN69" s="143" t="s">
        <v>153</v>
      </c>
      <c r="CO69" s="144"/>
      <c r="CP69" s="145"/>
      <c r="CQ69" s="143" t="s">
        <v>169</v>
      </c>
      <c r="CR69" s="144"/>
      <c r="CS69" s="145"/>
      <c r="CT69" s="143" t="s">
        <v>169</v>
      </c>
      <c r="CU69" s="144"/>
      <c r="CV69" s="145"/>
      <c r="CW69" s="143" t="s">
        <v>169</v>
      </c>
      <c r="CX69" s="144"/>
      <c r="CY69" s="145"/>
      <c r="CZ69" s="143" t="s">
        <v>169</v>
      </c>
      <c r="DA69" s="144"/>
      <c r="DB69" s="145"/>
      <c r="DC69" s="143" t="s">
        <v>169</v>
      </c>
      <c r="DD69" s="144"/>
      <c r="DE69" s="145"/>
      <c r="DF69" s="143" t="s">
        <v>169</v>
      </c>
      <c r="DG69" s="144"/>
      <c r="DH69" s="145"/>
      <c r="DI69" s="143" t="s">
        <v>169</v>
      </c>
      <c r="DJ69" s="144"/>
      <c r="DK69" s="145"/>
      <c r="DL69" s="5"/>
      <c r="DM69" s="5"/>
      <c r="DN69" s="5"/>
      <c r="DO69" s="49"/>
      <c r="DP69" s="33"/>
      <c r="DQ69" s="33"/>
      <c r="DR69" s="20"/>
      <c r="DS69" s="40"/>
      <c r="DT69" s="40"/>
      <c r="DU69" s="40"/>
      <c r="DV69" s="40"/>
      <c r="DW69" s="40"/>
      <c r="DX69" s="40"/>
      <c r="DY69" s="40"/>
    </row>
    <row r="70" spans="1:129" ht="9" customHeight="1" x14ac:dyDescent="0.3">
      <c r="A70" s="20"/>
      <c r="B70" s="194" t="s">
        <v>115</v>
      </c>
      <c r="C70" s="194"/>
      <c r="D70" s="194"/>
      <c r="E70" s="194"/>
      <c r="F70" s="194"/>
      <c r="G70" s="194"/>
      <c r="H70" s="194"/>
      <c r="I70" s="19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42"/>
      <c r="BQ70" s="142"/>
      <c r="BR70" s="142"/>
      <c r="BS70" s="142"/>
      <c r="BT70" s="142"/>
      <c r="BU70" s="142"/>
      <c r="BV70" s="142"/>
      <c r="BW70" s="142"/>
      <c r="BX70" s="56"/>
      <c r="BY70" s="56"/>
      <c r="BZ70" s="56"/>
      <c r="CA70" s="56"/>
      <c r="CB70" s="146"/>
      <c r="CC70" s="147"/>
      <c r="CD70" s="148"/>
      <c r="CE70" s="146"/>
      <c r="CF70" s="147"/>
      <c r="CG70" s="148"/>
      <c r="CH70" s="146"/>
      <c r="CI70" s="147"/>
      <c r="CJ70" s="148"/>
      <c r="CK70" s="146"/>
      <c r="CL70" s="147"/>
      <c r="CM70" s="148"/>
      <c r="CN70" s="146"/>
      <c r="CO70" s="147"/>
      <c r="CP70" s="148"/>
      <c r="CQ70" s="146"/>
      <c r="CR70" s="147"/>
      <c r="CS70" s="148"/>
      <c r="CT70" s="146"/>
      <c r="CU70" s="147"/>
      <c r="CV70" s="148"/>
      <c r="CW70" s="146"/>
      <c r="CX70" s="147"/>
      <c r="CY70" s="148"/>
      <c r="CZ70" s="146"/>
      <c r="DA70" s="147"/>
      <c r="DB70" s="148"/>
      <c r="DC70" s="146"/>
      <c r="DD70" s="147"/>
      <c r="DE70" s="148"/>
      <c r="DF70" s="146"/>
      <c r="DG70" s="147"/>
      <c r="DH70" s="148"/>
      <c r="DI70" s="146"/>
      <c r="DJ70" s="147"/>
      <c r="DK70" s="148"/>
      <c r="DL70" s="5"/>
      <c r="DM70" s="5"/>
      <c r="DN70" s="5"/>
      <c r="DO70" s="49"/>
      <c r="DP70" s="33"/>
      <c r="DQ70" s="33"/>
      <c r="DR70" s="20"/>
      <c r="DS70" s="40"/>
      <c r="DT70" s="40"/>
      <c r="DU70" s="40"/>
      <c r="DV70" s="40"/>
      <c r="DW70" s="40"/>
      <c r="DX70" s="40"/>
      <c r="DY70" s="40"/>
    </row>
    <row r="71" spans="1:129" ht="15" customHeight="1" x14ac:dyDescent="0.3">
      <c r="A71" s="20"/>
      <c r="B71" s="193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3"/>
      <c r="AK71" s="193"/>
      <c r="AL71" s="193"/>
      <c r="AM71" s="193"/>
      <c r="AN71" s="193"/>
      <c r="AO71" s="193"/>
      <c r="AP71" s="193"/>
      <c r="AQ71" s="193"/>
      <c r="AR71" s="193"/>
      <c r="AS71" s="193"/>
      <c r="AT71" s="193"/>
      <c r="AU71" s="193"/>
      <c r="AV71" s="193"/>
      <c r="AW71" s="193"/>
      <c r="AX71" s="193"/>
      <c r="AY71" s="193"/>
      <c r="AZ71" s="193"/>
      <c r="BA71" s="193"/>
      <c r="BB71" s="193"/>
      <c r="BC71" s="193"/>
      <c r="BD71" s="193"/>
      <c r="BE71" s="193"/>
      <c r="BF71" s="193"/>
      <c r="BG71" s="193"/>
      <c r="BH71" s="193"/>
      <c r="BI71" s="193"/>
      <c r="BJ71" s="193"/>
      <c r="BK71" s="193"/>
      <c r="BL71" s="193"/>
      <c r="BM71" s="193"/>
      <c r="BN71" s="193"/>
      <c r="BO71" s="193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49"/>
      <c r="DP71" s="33"/>
      <c r="DQ71" s="33"/>
      <c r="DR71" s="20"/>
      <c r="DS71" s="40"/>
      <c r="DT71" s="40"/>
      <c r="DU71" s="40"/>
      <c r="DV71" s="40"/>
      <c r="DW71" s="40"/>
      <c r="DX71" s="40"/>
      <c r="DY71" s="40"/>
    </row>
    <row r="72" spans="1:129" ht="9.9" customHeight="1" x14ac:dyDescent="0.3">
      <c r="A72" s="20"/>
      <c r="B72" s="81" t="s">
        <v>91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6"/>
      <c r="DN72" s="6"/>
      <c r="DO72" s="33"/>
      <c r="DP72" s="33"/>
      <c r="DQ72" s="33"/>
      <c r="DR72" s="20"/>
      <c r="DS72" s="40"/>
      <c r="DT72" s="40"/>
      <c r="DU72" s="40"/>
      <c r="DV72" s="40"/>
      <c r="DW72" s="40"/>
      <c r="DX72" s="40"/>
      <c r="DY72" s="40"/>
    </row>
    <row r="73" spans="1:129" ht="9" customHeight="1" x14ac:dyDescent="0.3">
      <c r="A73" s="20"/>
      <c r="B73" s="194" t="s">
        <v>118</v>
      </c>
      <c r="C73" s="194"/>
      <c r="D73" s="194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42" t="s">
        <v>117</v>
      </c>
      <c r="BQ73" s="142"/>
      <c r="BR73" s="142"/>
      <c r="BS73" s="142"/>
      <c r="BT73" s="142"/>
      <c r="BU73" s="142"/>
      <c r="BV73" s="142"/>
      <c r="BW73" s="142"/>
      <c r="BX73" s="56"/>
      <c r="BY73" s="56"/>
      <c r="BZ73" s="56"/>
      <c r="CA73" s="56"/>
      <c r="CB73" s="143" t="s">
        <v>53</v>
      </c>
      <c r="CC73" s="144"/>
      <c r="CD73" s="145"/>
      <c r="CE73" s="143" t="s">
        <v>43</v>
      </c>
      <c r="CF73" s="144"/>
      <c r="CG73" s="145"/>
      <c r="CH73" s="143" t="s">
        <v>151</v>
      </c>
      <c r="CI73" s="144"/>
      <c r="CJ73" s="145"/>
      <c r="CK73" s="143" t="s">
        <v>154</v>
      </c>
      <c r="CL73" s="144"/>
      <c r="CM73" s="145"/>
      <c r="CN73" s="143" t="s">
        <v>151</v>
      </c>
      <c r="CO73" s="144"/>
      <c r="CP73" s="145"/>
      <c r="CQ73" s="143" t="s">
        <v>169</v>
      </c>
      <c r="CR73" s="144"/>
      <c r="CS73" s="145"/>
      <c r="CT73" s="143" t="s">
        <v>169</v>
      </c>
      <c r="CU73" s="144"/>
      <c r="CV73" s="145"/>
      <c r="CW73" s="143" t="s">
        <v>169</v>
      </c>
      <c r="CX73" s="144"/>
      <c r="CY73" s="145"/>
      <c r="CZ73" s="143" t="s">
        <v>169</v>
      </c>
      <c r="DA73" s="144"/>
      <c r="DB73" s="145"/>
      <c r="DC73" s="143" t="s">
        <v>169</v>
      </c>
      <c r="DD73" s="144"/>
      <c r="DE73" s="145"/>
      <c r="DF73" s="143" t="s">
        <v>169</v>
      </c>
      <c r="DG73" s="144"/>
      <c r="DH73" s="145"/>
      <c r="DI73" s="143" t="s">
        <v>169</v>
      </c>
      <c r="DJ73" s="144"/>
      <c r="DK73" s="145"/>
      <c r="DL73" s="5"/>
      <c r="DM73" s="6"/>
      <c r="DN73" s="6"/>
      <c r="DO73" s="33"/>
      <c r="DP73" s="33"/>
      <c r="DQ73" s="33"/>
      <c r="DR73" s="20"/>
      <c r="DS73" s="40"/>
      <c r="DT73" s="40"/>
      <c r="DU73" s="40"/>
      <c r="DV73" s="40"/>
      <c r="DW73" s="40"/>
      <c r="DX73" s="40"/>
      <c r="DY73" s="40"/>
    </row>
    <row r="74" spans="1:129" ht="9" customHeight="1" x14ac:dyDescent="0.3">
      <c r="A74" s="20"/>
      <c r="B74" s="194" t="s">
        <v>119</v>
      </c>
      <c r="C74" s="194"/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42"/>
      <c r="BQ74" s="142"/>
      <c r="BR74" s="142"/>
      <c r="BS74" s="142"/>
      <c r="BT74" s="142"/>
      <c r="BU74" s="142"/>
      <c r="BV74" s="142"/>
      <c r="BW74" s="142"/>
      <c r="BX74" s="56"/>
      <c r="BY74" s="56"/>
      <c r="BZ74" s="56"/>
      <c r="CA74" s="56"/>
      <c r="CB74" s="146"/>
      <c r="CC74" s="147"/>
      <c r="CD74" s="148"/>
      <c r="CE74" s="146"/>
      <c r="CF74" s="147"/>
      <c r="CG74" s="148"/>
      <c r="CH74" s="146"/>
      <c r="CI74" s="147"/>
      <c r="CJ74" s="148"/>
      <c r="CK74" s="146"/>
      <c r="CL74" s="147"/>
      <c r="CM74" s="148"/>
      <c r="CN74" s="146"/>
      <c r="CO74" s="147"/>
      <c r="CP74" s="148"/>
      <c r="CQ74" s="146"/>
      <c r="CR74" s="147"/>
      <c r="CS74" s="148"/>
      <c r="CT74" s="146"/>
      <c r="CU74" s="147"/>
      <c r="CV74" s="148"/>
      <c r="CW74" s="146"/>
      <c r="CX74" s="147"/>
      <c r="CY74" s="148"/>
      <c r="CZ74" s="146"/>
      <c r="DA74" s="147"/>
      <c r="DB74" s="148"/>
      <c r="DC74" s="146"/>
      <c r="DD74" s="147"/>
      <c r="DE74" s="148"/>
      <c r="DF74" s="146"/>
      <c r="DG74" s="147"/>
      <c r="DH74" s="148"/>
      <c r="DI74" s="146"/>
      <c r="DJ74" s="147"/>
      <c r="DK74" s="148"/>
      <c r="DL74" s="5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ht="12" customHeight="1" x14ac:dyDescent="0.3">
      <c r="A75" s="20"/>
      <c r="B75" s="193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3"/>
      <c r="AJ75" s="193"/>
      <c r="AK75" s="193"/>
      <c r="AL75" s="193"/>
      <c r="AM75" s="193"/>
      <c r="AN75" s="193"/>
      <c r="AO75" s="193"/>
      <c r="AP75" s="193"/>
      <c r="AQ75" s="193"/>
      <c r="AR75" s="193"/>
      <c r="AS75" s="193"/>
      <c r="AT75" s="193"/>
      <c r="AU75" s="193"/>
      <c r="AV75" s="193"/>
      <c r="AW75" s="193"/>
      <c r="AX75" s="193"/>
      <c r="AY75" s="193"/>
      <c r="AZ75" s="193"/>
      <c r="BA75" s="193"/>
      <c r="BB75" s="193"/>
      <c r="BC75" s="193"/>
      <c r="BD75" s="193"/>
      <c r="BE75" s="193"/>
      <c r="BF75" s="193"/>
      <c r="BG75" s="193"/>
      <c r="BH75" s="193"/>
      <c r="BI75" s="193"/>
      <c r="BJ75" s="193"/>
      <c r="BK75" s="193"/>
      <c r="BL75" s="193"/>
      <c r="BM75" s="193"/>
      <c r="BN75" s="193"/>
      <c r="BO75" s="193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6"/>
      <c r="DN75" s="6"/>
      <c r="DO75" s="33"/>
      <c r="DP75" s="33"/>
      <c r="DQ75" s="33"/>
      <c r="DR75" s="20"/>
      <c r="DS75" s="40"/>
      <c r="DT75" s="40"/>
      <c r="DU75" s="40"/>
      <c r="DV75" s="40"/>
      <c r="DW75" s="40"/>
      <c r="DX75" s="40"/>
      <c r="DY75" s="40"/>
    </row>
    <row r="76" spans="1:129" ht="12" customHeight="1" x14ac:dyDescent="0.3">
      <c r="A76" s="20"/>
      <c r="B76" s="81" t="s">
        <v>93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6"/>
      <c r="DM76" s="6"/>
      <c r="DN76" s="6"/>
      <c r="DO76" s="33"/>
      <c r="DP76" s="33"/>
      <c r="DQ76" s="33"/>
      <c r="DR76" s="20"/>
      <c r="DS76" s="40"/>
      <c r="DT76" s="40"/>
      <c r="DU76" s="40"/>
      <c r="DV76" s="40"/>
      <c r="DW76" s="40"/>
      <c r="DX76" s="40"/>
      <c r="DY76" s="40"/>
    </row>
    <row r="77" spans="1:129" ht="9" customHeight="1" x14ac:dyDescent="0.3">
      <c r="A77" s="20"/>
      <c r="B77" s="194" t="s">
        <v>120</v>
      </c>
      <c r="C77" s="194"/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42" t="s">
        <v>122</v>
      </c>
      <c r="BQ77" s="142"/>
      <c r="BR77" s="142"/>
      <c r="BS77" s="142"/>
      <c r="BT77" s="142"/>
      <c r="BU77" s="142"/>
      <c r="BV77" s="142"/>
      <c r="BW77" s="142"/>
      <c r="BX77" s="56"/>
      <c r="BY77" s="56"/>
      <c r="BZ77" s="56"/>
      <c r="CA77" s="56"/>
      <c r="CB77" s="143" t="s">
        <v>54</v>
      </c>
      <c r="CC77" s="144"/>
      <c r="CD77" s="145"/>
      <c r="CE77" s="143" t="s">
        <v>43</v>
      </c>
      <c r="CF77" s="144"/>
      <c r="CG77" s="145"/>
      <c r="CH77" s="143" t="s">
        <v>152</v>
      </c>
      <c r="CI77" s="144"/>
      <c r="CJ77" s="145"/>
      <c r="CK77" s="143" t="s">
        <v>153</v>
      </c>
      <c r="CL77" s="144"/>
      <c r="CM77" s="145"/>
      <c r="CN77" s="143" t="s">
        <v>54</v>
      </c>
      <c r="CO77" s="144"/>
      <c r="CP77" s="145"/>
      <c r="CQ77" s="143" t="s">
        <v>169</v>
      </c>
      <c r="CR77" s="144"/>
      <c r="CS77" s="145"/>
      <c r="CT77" s="143" t="s">
        <v>169</v>
      </c>
      <c r="CU77" s="144"/>
      <c r="CV77" s="145"/>
      <c r="CW77" s="143" t="s">
        <v>169</v>
      </c>
      <c r="CX77" s="144"/>
      <c r="CY77" s="145"/>
      <c r="CZ77" s="143" t="s">
        <v>169</v>
      </c>
      <c r="DA77" s="144"/>
      <c r="DB77" s="145"/>
      <c r="DC77" s="143" t="s">
        <v>169</v>
      </c>
      <c r="DD77" s="144"/>
      <c r="DE77" s="145"/>
      <c r="DF77" s="143" t="s">
        <v>169</v>
      </c>
      <c r="DG77" s="144"/>
      <c r="DH77" s="145"/>
      <c r="DI77" s="143" t="s">
        <v>169</v>
      </c>
      <c r="DJ77" s="144"/>
      <c r="DK77" s="145"/>
      <c r="DL77" s="6"/>
      <c r="DM77" s="6"/>
      <c r="DN77" s="6"/>
      <c r="DO77" s="33"/>
      <c r="DP77" s="33"/>
      <c r="DQ77" s="33"/>
      <c r="DR77" s="20"/>
      <c r="DS77" s="40"/>
      <c r="DT77" s="40"/>
      <c r="DU77" s="40"/>
      <c r="DV77" s="40"/>
      <c r="DW77" s="40"/>
      <c r="DX77" s="40"/>
      <c r="DY77" s="40"/>
    </row>
    <row r="78" spans="1:129" ht="9" customHeight="1" x14ac:dyDescent="0.3">
      <c r="A78" s="20"/>
      <c r="B78" s="194" t="s">
        <v>121</v>
      </c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4"/>
      <c r="AN78" s="194"/>
      <c r="AO78" s="194"/>
      <c r="AP78" s="194"/>
      <c r="AQ78" s="194"/>
      <c r="AR78" s="194"/>
      <c r="AS78" s="194"/>
      <c r="AT78" s="194"/>
      <c r="AU78" s="194"/>
      <c r="AV78" s="194"/>
      <c r="AW78" s="194"/>
      <c r="AX78" s="194"/>
      <c r="AY78" s="194"/>
      <c r="AZ78" s="194"/>
      <c r="BA78" s="194"/>
      <c r="BB78" s="194"/>
      <c r="BC78" s="194"/>
      <c r="BD78" s="194"/>
      <c r="BE78" s="194"/>
      <c r="BF78" s="194"/>
      <c r="BG78" s="194"/>
      <c r="BH78" s="194"/>
      <c r="BI78" s="194"/>
      <c r="BJ78" s="194"/>
      <c r="BK78" s="194"/>
      <c r="BL78" s="194"/>
      <c r="BM78" s="194"/>
      <c r="BN78" s="194"/>
      <c r="BO78" s="194"/>
      <c r="BP78" s="142"/>
      <c r="BQ78" s="142"/>
      <c r="BR78" s="142"/>
      <c r="BS78" s="142"/>
      <c r="BT78" s="142"/>
      <c r="BU78" s="142"/>
      <c r="BV78" s="142"/>
      <c r="BW78" s="142"/>
      <c r="BX78" s="56"/>
      <c r="BY78" s="56"/>
      <c r="BZ78" s="56"/>
      <c r="CA78" s="56"/>
      <c r="CB78" s="146"/>
      <c r="CC78" s="147"/>
      <c r="CD78" s="148"/>
      <c r="CE78" s="146"/>
      <c r="CF78" s="147"/>
      <c r="CG78" s="148"/>
      <c r="CH78" s="146"/>
      <c r="CI78" s="147"/>
      <c r="CJ78" s="148"/>
      <c r="CK78" s="146"/>
      <c r="CL78" s="147"/>
      <c r="CM78" s="148"/>
      <c r="CN78" s="146"/>
      <c r="CO78" s="147"/>
      <c r="CP78" s="148"/>
      <c r="CQ78" s="146"/>
      <c r="CR78" s="147"/>
      <c r="CS78" s="148"/>
      <c r="CT78" s="146"/>
      <c r="CU78" s="147"/>
      <c r="CV78" s="148"/>
      <c r="CW78" s="146"/>
      <c r="CX78" s="147"/>
      <c r="CY78" s="148"/>
      <c r="CZ78" s="146"/>
      <c r="DA78" s="147"/>
      <c r="DB78" s="148"/>
      <c r="DC78" s="146"/>
      <c r="DD78" s="147"/>
      <c r="DE78" s="148"/>
      <c r="DF78" s="146"/>
      <c r="DG78" s="147"/>
      <c r="DH78" s="148"/>
      <c r="DI78" s="146"/>
      <c r="DJ78" s="147"/>
      <c r="DK78" s="148"/>
      <c r="DL78" s="6"/>
      <c r="DM78" s="6"/>
      <c r="DN78" s="6"/>
      <c r="DO78" s="33"/>
      <c r="DP78" s="33"/>
      <c r="DQ78" s="33"/>
      <c r="DR78" s="20"/>
      <c r="DS78" s="40"/>
      <c r="DT78" s="40"/>
      <c r="DU78" s="40"/>
      <c r="DV78" s="40"/>
      <c r="DW78" s="40"/>
      <c r="DX78" s="40"/>
      <c r="DY78" s="40"/>
    </row>
    <row r="79" spans="1:129" ht="12" customHeight="1" x14ac:dyDescent="0.3">
      <c r="A79" s="20"/>
      <c r="B79" s="60"/>
      <c r="C79" s="60"/>
      <c r="D79" s="60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33"/>
      <c r="DP79" s="33"/>
      <c r="DQ79" s="33"/>
      <c r="DR79" s="20"/>
      <c r="DS79" s="40"/>
      <c r="DT79" s="40"/>
      <c r="DU79" s="40"/>
      <c r="DV79" s="40"/>
      <c r="DW79" s="40"/>
      <c r="DX79" s="40"/>
      <c r="DY79" s="40"/>
    </row>
    <row r="80" spans="1:129" ht="12" customHeight="1" x14ac:dyDescent="0.3">
      <c r="A80" s="20"/>
      <c r="B80" s="60"/>
      <c r="C80" s="60"/>
      <c r="D80" s="60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33"/>
      <c r="DP80" s="33"/>
      <c r="DQ80" s="33"/>
      <c r="DR80" s="20"/>
      <c r="DS80" s="40"/>
      <c r="DT80" s="40"/>
      <c r="DU80" s="40"/>
      <c r="DV80" s="40"/>
      <c r="DW80" s="40"/>
      <c r="DX80" s="40"/>
      <c r="DY80" s="40"/>
    </row>
    <row r="81" spans="1:129" ht="12" customHeight="1" x14ac:dyDescent="0.3">
      <c r="A81" s="20"/>
      <c r="B81" s="60"/>
      <c r="C81" s="60"/>
      <c r="D81" s="60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33"/>
      <c r="DP81" s="33"/>
      <c r="DQ81" s="33"/>
      <c r="DR81" s="20"/>
      <c r="DS81" s="40"/>
      <c r="DT81" s="40"/>
      <c r="DU81" s="40"/>
      <c r="DV81" s="40"/>
      <c r="DW81" s="40"/>
      <c r="DX81" s="40"/>
      <c r="DY81" s="40"/>
    </row>
    <row r="82" spans="1:129" ht="15.7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44"/>
      <c r="DO82" s="44"/>
      <c r="DP82" s="44"/>
      <c r="DQ82" s="44"/>
      <c r="DR82" s="20"/>
      <c r="DS82" s="40"/>
      <c r="DT82" s="40"/>
      <c r="DU82" s="40"/>
      <c r="DV82" s="40"/>
      <c r="DW82" s="40"/>
      <c r="DX82" s="40"/>
      <c r="DY82" s="40"/>
    </row>
    <row r="83" spans="1:129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40"/>
      <c r="DT83" s="40"/>
      <c r="DU83" s="40"/>
      <c r="DV83" s="40"/>
      <c r="DW83" s="40"/>
      <c r="DX83" s="40"/>
      <c r="DY83" s="40"/>
    </row>
    <row r="84" spans="1:129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x14ac:dyDescent="0.3">
      <c r="DS87" s="40"/>
      <c r="DT87" s="40"/>
      <c r="DU87" s="40"/>
      <c r="DV87" s="40"/>
      <c r="DW87" s="40"/>
      <c r="DX87" s="40"/>
      <c r="DY87" s="40"/>
    </row>
    <row r="88" spans="1:129" x14ac:dyDescent="0.3">
      <c r="DS88" s="40"/>
      <c r="DT88" s="40"/>
      <c r="DU88" s="40"/>
      <c r="DV88" s="40"/>
      <c r="DW88" s="40"/>
      <c r="DX88" s="40"/>
      <c r="DY88" s="40"/>
    </row>
    <row r="89" spans="1:129" x14ac:dyDescent="0.3">
      <c r="DS89" s="40"/>
      <c r="DT89" s="40"/>
      <c r="DU89" s="40"/>
      <c r="DV89" s="40"/>
      <c r="DW89" s="40"/>
      <c r="DX89" s="40"/>
      <c r="DY89" s="40"/>
    </row>
    <row r="90" spans="1:129" ht="13.5" customHeight="1" x14ac:dyDescent="0.3">
      <c r="DS90" s="40"/>
      <c r="DT90" s="40"/>
      <c r="DU90" s="40"/>
      <c r="DV90" s="40"/>
      <c r="DW90" s="40"/>
      <c r="DX90" s="40"/>
      <c r="DY90" s="40"/>
    </row>
    <row r="91" spans="1:129" s="2" customFormat="1" ht="12.45" x14ac:dyDescent="0.3"/>
    <row r="92" spans="1:129" s="2" customFormat="1" ht="6" customHeight="1" x14ac:dyDescent="0.3"/>
    <row r="93" spans="1:129" s="2" customFormat="1" ht="9" customHeight="1" x14ac:dyDescent="0.3"/>
    <row r="94" spans="1:129" s="1" customFormat="1" ht="5.25" customHeight="1" x14ac:dyDescent="0.25"/>
  </sheetData>
  <mergeCells count="273">
    <mergeCell ref="B77:BO77"/>
    <mergeCell ref="B78:BO78"/>
    <mergeCell ref="B74:BO74"/>
    <mergeCell ref="B75:BO75"/>
    <mergeCell ref="B76:BO76"/>
    <mergeCell ref="B69:BO69"/>
    <mergeCell ref="BP38:BW38"/>
    <mergeCell ref="CB38:CD38"/>
    <mergeCell ref="CE38:CG38"/>
    <mergeCell ref="B38:BO38"/>
    <mergeCell ref="CB40:CD40"/>
    <mergeCell ref="CE40:CG40"/>
    <mergeCell ref="B71:BO71"/>
    <mergeCell ref="B72:BO72"/>
    <mergeCell ref="B73:BO73"/>
    <mergeCell ref="B65:BO65"/>
    <mergeCell ref="B66:BO66"/>
    <mergeCell ref="B67:BO67"/>
    <mergeCell ref="B68:BO68"/>
    <mergeCell ref="B39:BO39"/>
    <mergeCell ref="B40:BO40"/>
    <mergeCell ref="B70:BO70"/>
    <mergeCell ref="B59:BO59"/>
    <mergeCell ref="B60:BO60"/>
    <mergeCell ref="B61:BO61"/>
    <mergeCell ref="B62:BO62"/>
    <mergeCell ref="B63:BO63"/>
    <mergeCell ref="B64:BO64"/>
    <mergeCell ref="CE34:CG34"/>
    <mergeCell ref="CH34:CJ34"/>
    <mergeCell ref="B35:BO35"/>
    <mergeCell ref="BP36:BW36"/>
    <mergeCell ref="BP40:BW40"/>
    <mergeCell ref="CH38:CJ38"/>
    <mergeCell ref="B36:BO36"/>
    <mergeCell ref="B37:BO37"/>
    <mergeCell ref="CH40:CJ40"/>
    <mergeCell ref="CB36:CD36"/>
    <mergeCell ref="CE36:CG36"/>
    <mergeCell ref="CH36:CJ36"/>
    <mergeCell ref="B50:BO50"/>
    <mergeCell ref="B51:BO51"/>
    <mergeCell ref="B52:BO52"/>
    <mergeCell ref="B53:BO53"/>
    <mergeCell ref="B54:BO54"/>
    <mergeCell ref="B55:BO55"/>
    <mergeCell ref="B56:BO56"/>
    <mergeCell ref="B57:BO57"/>
    <mergeCell ref="B32:BO32"/>
    <mergeCell ref="B33:BO33"/>
    <mergeCell ref="B34:BO34"/>
    <mergeCell ref="DI26:DK26"/>
    <mergeCell ref="BP26:BW26"/>
    <mergeCell ref="DI28:DK28"/>
    <mergeCell ref="CH26:CJ26"/>
    <mergeCell ref="B58:BO58"/>
    <mergeCell ref="B41:BO41"/>
    <mergeCell ref="B42:BO42"/>
    <mergeCell ref="B43:BO43"/>
    <mergeCell ref="B44:BO44"/>
    <mergeCell ref="B45:BO45"/>
    <mergeCell ref="B46:BO46"/>
    <mergeCell ref="B47:BO47"/>
    <mergeCell ref="B48:BO48"/>
    <mergeCell ref="B49:BO49"/>
    <mergeCell ref="BP28:BW28"/>
    <mergeCell ref="CB28:CD28"/>
    <mergeCell ref="CE28:CG28"/>
    <mergeCell ref="CH28:CJ28"/>
    <mergeCell ref="CK28:CM28"/>
    <mergeCell ref="CN28:CP28"/>
    <mergeCell ref="CQ28:CS28"/>
    <mergeCell ref="B23:BO23"/>
    <mergeCell ref="B24:BO24"/>
    <mergeCell ref="B25:BO25"/>
    <mergeCell ref="B26:BO26"/>
    <mergeCell ref="B27:BO27"/>
    <mergeCell ref="B28:BO28"/>
    <mergeCell ref="B29:BO29"/>
    <mergeCell ref="B30:BO30"/>
    <mergeCell ref="B31:BO31"/>
    <mergeCell ref="DI32:DK32"/>
    <mergeCell ref="BP34:BW34"/>
    <mergeCell ref="CB34:CD34"/>
    <mergeCell ref="DI30:DK30"/>
    <mergeCell ref="BP32:BW32"/>
    <mergeCell ref="CB32:CD32"/>
    <mergeCell ref="CE32:CG32"/>
    <mergeCell ref="CH32:CJ32"/>
    <mergeCell ref="BP30:BW30"/>
    <mergeCell ref="CB30:CD30"/>
    <mergeCell ref="CE30:CG30"/>
    <mergeCell ref="CH30:CJ30"/>
    <mergeCell ref="CK30:CM30"/>
    <mergeCell ref="CN30:CP30"/>
    <mergeCell ref="CQ30:CS30"/>
    <mergeCell ref="CT30:CV30"/>
    <mergeCell ref="CW30:CY30"/>
    <mergeCell ref="CK32:CM32"/>
    <mergeCell ref="CN32:CP32"/>
    <mergeCell ref="CZ28:DB28"/>
    <mergeCell ref="DC28:DE28"/>
    <mergeCell ref="CK26:CM26"/>
    <mergeCell ref="CN26:CP26"/>
    <mergeCell ref="CQ26:CS26"/>
    <mergeCell ref="CZ30:DB30"/>
    <mergeCell ref="DC30:DE30"/>
    <mergeCell ref="DF30:DH30"/>
    <mergeCell ref="CT26:CV26"/>
    <mergeCell ref="CW26:CY26"/>
    <mergeCell ref="CT28:CV28"/>
    <mergeCell ref="CK47:CM48"/>
    <mergeCell ref="CN47:CP48"/>
    <mergeCell ref="BP44:BW45"/>
    <mergeCell ref="CB44:CD45"/>
    <mergeCell ref="CH44:CJ45"/>
    <mergeCell ref="CK44:CM45"/>
    <mergeCell ref="CN44:CP45"/>
    <mergeCell ref="CE44:CG45"/>
    <mergeCell ref="CW28:CY28"/>
    <mergeCell ref="CB53:CD54"/>
    <mergeCell ref="CE53:CG54"/>
    <mergeCell ref="CH53:CJ54"/>
    <mergeCell ref="CK53:CM54"/>
    <mergeCell ref="CN53:CP54"/>
    <mergeCell ref="CW53:CY54"/>
    <mergeCell ref="DI47:DK48"/>
    <mergeCell ref="BP50:BW51"/>
    <mergeCell ref="CB50:CD51"/>
    <mergeCell ref="CE50:CG51"/>
    <mergeCell ref="CH50:CJ51"/>
    <mergeCell ref="CK50:CM51"/>
    <mergeCell ref="CN50:CP51"/>
    <mergeCell ref="CQ50:CS51"/>
    <mergeCell ref="CT50:CV51"/>
    <mergeCell ref="CW50:CY51"/>
    <mergeCell ref="CQ47:CS48"/>
    <mergeCell ref="CT47:CV48"/>
    <mergeCell ref="CW47:CY48"/>
    <mergeCell ref="CZ47:DB48"/>
    <mergeCell ref="BP47:BW48"/>
    <mergeCell ref="CB47:CD48"/>
    <mergeCell ref="CE47:CG48"/>
    <mergeCell ref="CH47:CJ48"/>
    <mergeCell ref="BP15:BW15"/>
    <mergeCell ref="CB15:CD15"/>
    <mergeCell ref="B12:BL12"/>
    <mergeCell ref="BP12:BW12"/>
    <mergeCell ref="CA12:DK12"/>
    <mergeCell ref="CQ53:CS54"/>
    <mergeCell ref="CT53:CV54"/>
    <mergeCell ref="DF53:DH54"/>
    <mergeCell ref="CZ50:DB51"/>
    <mergeCell ref="DC50:DE51"/>
    <mergeCell ref="DF50:DH51"/>
    <mergeCell ref="CZ53:DB54"/>
    <mergeCell ref="DC53:DE54"/>
    <mergeCell ref="CZ32:DB32"/>
    <mergeCell ref="DC47:DE48"/>
    <mergeCell ref="DF47:DH48"/>
    <mergeCell ref="CQ44:CS45"/>
    <mergeCell ref="CT44:CV45"/>
    <mergeCell ref="CQ32:CS32"/>
    <mergeCell ref="CT32:CV32"/>
    <mergeCell ref="DI53:DK54"/>
    <mergeCell ref="DF28:DH28"/>
    <mergeCell ref="DI50:DK51"/>
    <mergeCell ref="BP53:BW54"/>
    <mergeCell ref="BA2:BC3"/>
    <mergeCell ref="BD2:BF3"/>
    <mergeCell ref="AX5:AZ5"/>
    <mergeCell ref="BA5:BC5"/>
    <mergeCell ref="BD5:BF5"/>
    <mergeCell ref="B8:DQ8"/>
    <mergeCell ref="B9:DQ9"/>
    <mergeCell ref="B10:DQ10"/>
    <mergeCell ref="CW44:CY45"/>
    <mergeCell ref="CZ44:DB45"/>
    <mergeCell ref="DC44:DE45"/>
    <mergeCell ref="DF44:DH45"/>
    <mergeCell ref="CW32:CY32"/>
    <mergeCell ref="DC32:DE32"/>
    <mergeCell ref="DF32:DH32"/>
    <mergeCell ref="BP18:BW19"/>
    <mergeCell ref="CB18:CD19"/>
    <mergeCell ref="CB26:CD26"/>
    <mergeCell ref="CE26:CG26"/>
    <mergeCell ref="CZ26:DB26"/>
    <mergeCell ref="DC26:DE26"/>
    <mergeCell ref="DF26:DH26"/>
    <mergeCell ref="DI44:DK45"/>
    <mergeCell ref="B14:BL16"/>
    <mergeCell ref="AD5:AK5"/>
    <mergeCell ref="AL5:AN5"/>
    <mergeCell ref="AO5:AQ5"/>
    <mergeCell ref="AR5:AT5"/>
    <mergeCell ref="AU5:AW5"/>
    <mergeCell ref="AO2:AQ3"/>
    <mergeCell ref="AR2:AT3"/>
    <mergeCell ref="AU2:AW3"/>
    <mergeCell ref="AX2:AZ3"/>
    <mergeCell ref="CE65:CG66"/>
    <mergeCell ref="CH65:CJ66"/>
    <mergeCell ref="CK65:CM66"/>
    <mergeCell ref="CN65:CP66"/>
    <mergeCell ref="DI69:DK70"/>
    <mergeCell ref="BG5:BI5"/>
    <mergeCell ref="BJ5:BL5"/>
    <mergeCell ref="BM5:BR5"/>
    <mergeCell ref="A1:D1"/>
    <mergeCell ref="Z1:AC1"/>
    <mergeCell ref="B2:D2"/>
    <mergeCell ref="Z2:AB2"/>
    <mergeCell ref="AD2:AK2"/>
    <mergeCell ref="AL2:AN3"/>
    <mergeCell ref="B13:BL13"/>
    <mergeCell ref="BP13:BW13"/>
    <mergeCell ref="CA13:DK13"/>
    <mergeCell ref="BG2:BI3"/>
    <mergeCell ref="BJ2:BL3"/>
    <mergeCell ref="BM2:BO3"/>
    <mergeCell ref="BP2:BR3"/>
    <mergeCell ref="BS5:BU5"/>
    <mergeCell ref="BV5:BX5"/>
    <mergeCell ref="BY5:CA5"/>
    <mergeCell ref="CK73:CM74"/>
    <mergeCell ref="CN73:CP74"/>
    <mergeCell ref="CZ73:DB74"/>
    <mergeCell ref="DC73:DE74"/>
    <mergeCell ref="DF73:DH74"/>
    <mergeCell ref="BS2:BU3"/>
    <mergeCell ref="DI65:DK66"/>
    <mergeCell ref="BP69:BW70"/>
    <mergeCell ref="CB69:CD70"/>
    <mergeCell ref="CE69:CG70"/>
    <mergeCell ref="CH69:CJ70"/>
    <mergeCell ref="CK69:CM70"/>
    <mergeCell ref="CN69:CP70"/>
    <mergeCell ref="CQ69:CS70"/>
    <mergeCell ref="CT69:CV70"/>
    <mergeCell ref="CW69:CY70"/>
    <mergeCell ref="CQ65:CS66"/>
    <mergeCell ref="CT65:CV66"/>
    <mergeCell ref="CW65:CY66"/>
    <mergeCell ref="CZ65:DB66"/>
    <mergeCell ref="DC65:DE66"/>
    <mergeCell ref="DF65:DH66"/>
    <mergeCell ref="BP65:BW66"/>
    <mergeCell ref="CB65:CD66"/>
    <mergeCell ref="CZ69:DB70"/>
    <mergeCell ref="DC69:DE70"/>
    <mergeCell ref="DF69:DH70"/>
    <mergeCell ref="DF77:DH78"/>
    <mergeCell ref="DI77:DK78"/>
    <mergeCell ref="DI73:DK74"/>
    <mergeCell ref="BP77:BW78"/>
    <mergeCell ref="CB77:CD78"/>
    <mergeCell ref="CE77:CG78"/>
    <mergeCell ref="CH77:CJ78"/>
    <mergeCell ref="CK77:CM78"/>
    <mergeCell ref="CN77:CP78"/>
    <mergeCell ref="CQ77:CS78"/>
    <mergeCell ref="CT77:CV78"/>
    <mergeCell ref="CW77:CY78"/>
    <mergeCell ref="CQ73:CS74"/>
    <mergeCell ref="CT73:CV74"/>
    <mergeCell ref="CW73:CY74"/>
    <mergeCell ref="CZ77:DB78"/>
    <mergeCell ref="DC77:DE78"/>
    <mergeCell ref="BP73:BW74"/>
    <mergeCell ref="CB73:CD74"/>
    <mergeCell ref="CE73:CG74"/>
    <mergeCell ref="CH73:CJ74"/>
  </mergeCells>
  <printOptions horizontalCentered="1"/>
  <pageMargins left="0.35433070866141736" right="0.19685039370078741" top="0.35433070866141736" bottom="0.19685039370078741" header="0" footer="0"/>
  <pageSetup paperSize="9" scale="7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G34"/>
  <sheetViews>
    <sheetView zoomScale="85" zoomScaleNormal="85" workbookViewId="0">
      <selection activeCell="D9" sqref="D9"/>
    </sheetView>
  </sheetViews>
  <sheetFormatPr defaultRowHeight="12.45" x14ac:dyDescent="0.3"/>
  <cols>
    <col min="3" max="3" width="17.53515625" customWidth="1"/>
  </cols>
  <sheetData>
    <row r="7" spans="2:4" ht="17.600000000000001" x14ac:dyDescent="0.4">
      <c r="C7" s="77"/>
    </row>
    <row r="9" spans="2:4" x14ac:dyDescent="0.3">
      <c r="B9" t="s">
        <v>170</v>
      </c>
      <c r="C9" t="s">
        <v>182</v>
      </c>
    </row>
    <row r="10" spans="2:4" x14ac:dyDescent="0.3">
      <c r="B10" t="s">
        <v>171</v>
      </c>
      <c r="C10" s="79">
        <v>602711</v>
      </c>
    </row>
    <row r="11" spans="2:4" x14ac:dyDescent="0.3">
      <c r="B11" t="s">
        <v>172</v>
      </c>
      <c r="C11" s="79">
        <v>869655</v>
      </c>
    </row>
    <row r="12" spans="2:4" x14ac:dyDescent="0.3">
      <c r="B12" t="s">
        <v>178</v>
      </c>
      <c r="C12" s="79">
        <v>800427</v>
      </c>
    </row>
    <row r="13" spans="2:4" x14ac:dyDescent="0.3">
      <c r="B13" t="s">
        <v>179</v>
      </c>
      <c r="C13" s="79">
        <v>774923</v>
      </c>
    </row>
    <row r="14" spans="2:4" x14ac:dyDescent="0.3">
      <c r="C14" s="79"/>
    </row>
    <row r="15" spans="2:4" x14ac:dyDescent="0.3">
      <c r="B15" t="s">
        <v>171</v>
      </c>
      <c r="C15" s="79">
        <f>C10</f>
        <v>602711</v>
      </c>
      <c r="D15" t="s">
        <v>173</v>
      </c>
    </row>
    <row r="16" spans="2:4" x14ac:dyDescent="0.3">
      <c r="B16" t="s">
        <v>172</v>
      </c>
      <c r="C16" s="79">
        <f>C15+C11</f>
        <v>1472366</v>
      </c>
    </row>
    <row r="17" spans="2:7" x14ac:dyDescent="0.3">
      <c r="B17" t="s">
        <v>178</v>
      </c>
      <c r="C17" s="79">
        <f>C16+C12</f>
        <v>2272793</v>
      </c>
    </row>
    <row r="18" spans="2:7" x14ac:dyDescent="0.3">
      <c r="B18" t="s">
        <v>179</v>
      </c>
      <c r="C18" s="79">
        <f>C17+C13</f>
        <v>3047716</v>
      </c>
    </row>
    <row r="19" spans="2:7" x14ac:dyDescent="0.3">
      <c r="B19" t="s">
        <v>171</v>
      </c>
      <c r="C19" s="79">
        <f>ROUND(C10*0.06,0)</f>
        <v>36163</v>
      </c>
      <c r="D19" t="s">
        <v>95</v>
      </c>
    </row>
    <row r="20" spans="2:7" x14ac:dyDescent="0.3">
      <c r="B20" t="s">
        <v>172</v>
      </c>
      <c r="C20" s="79">
        <f>ROUND(C11*0.06 + C19,0)</f>
        <v>88342</v>
      </c>
    </row>
    <row r="21" spans="2:7" x14ac:dyDescent="0.3">
      <c r="B21" t="s">
        <v>178</v>
      </c>
      <c r="C21" s="79">
        <f>ROUND(C12*0.06 + C20,0)</f>
        <v>136368</v>
      </c>
    </row>
    <row r="22" spans="2:7" x14ac:dyDescent="0.3">
      <c r="B22" t="s">
        <v>179</v>
      </c>
      <c r="C22" s="79">
        <f>ROUND(C13*0.06 + C21,0)</f>
        <v>182863</v>
      </c>
    </row>
    <row r="23" spans="2:7" x14ac:dyDescent="0.3">
      <c r="B23" t="s">
        <v>171</v>
      </c>
      <c r="C23" s="79">
        <f>ROUND(8112+2106.5,0)</f>
        <v>10219</v>
      </c>
      <c r="D23" t="s">
        <v>180</v>
      </c>
      <c r="G23">
        <f>8112+2106.5</f>
        <v>10218.5</v>
      </c>
    </row>
    <row r="24" spans="2:7" x14ac:dyDescent="0.3">
      <c r="B24" t="s">
        <v>172</v>
      </c>
      <c r="C24" s="79">
        <f>ROUND(G23*2,0)</f>
        <v>20437</v>
      </c>
    </row>
    <row r="25" spans="2:7" x14ac:dyDescent="0.3">
      <c r="B25" t="s">
        <v>178</v>
      </c>
      <c r="C25" s="79">
        <f>ROUND(G23*3,0)</f>
        <v>30656</v>
      </c>
    </row>
    <row r="26" spans="2:7" x14ac:dyDescent="0.3">
      <c r="B26" t="s">
        <v>179</v>
      </c>
      <c r="C26" s="79">
        <f>ROUND(G23*4,0)</f>
        <v>40874</v>
      </c>
    </row>
    <row r="28" spans="2:7" x14ac:dyDescent="0.3">
      <c r="B28" t="s">
        <v>171</v>
      </c>
      <c r="C28" s="79">
        <f>ROUND(C10*0.06 - C23,0)</f>
        <v>25944</v>
      </c>
      <c r="D28" t="s">
        <v>181</v>
      </c>
    </row>
    <row r="29" spans="2:7" x14ac:dyDescent="0.3">
      <c r="B29" t="s">
        <v>172</v>
      </c>
      <c r="C29" s="79">
        <f>ROUND(C11*0.06 - C23,0)</f>
        <v>41960</v>
      </c>
    </row>
    <row r="30" spans="2:7" x14ac:dyDescent="0.3">
      <c r="B30" t="s">
        <v>178</v>
      </c>
      <c r="C30" s="79">
        <f>ROUND(C12*0.06 - C23,0)</f>
        <v>37807</v>
      </c>
    </row>
    <row r="31" spans="2:7" x14ac:dyDescent="0.3">
      <c r="B31" t="s">
        <v>179</v>
      </c>
      <c r="C31" s="79">
        <f>ROUND(C13*0.06 - C23,0)</f>
        <v>36276</v>
      </c>
    </row>
    <row r="32" spans="2:7" x14ac:dyDescent="0.3">
      <c r="C32" s="79">
        <f>ROUND(C22 - C26,0)</f>
        <v>141989</v>
      </c>
    </row>
    <row r="34" spans="3:4" x14ac:dyDescent="0.3">
      <c r="C34" s="79">
        <f>ROUND((C18-C22 - 300000) * 0.01,0)</f>
        <v>25649</v>
      </c>
      <c r="D34" t="s">
        <v>183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1.RefreshConnection_Click">
                <anchor moveWithCells="1" sizeWithCells="1">
                  <from>
                    <xdr:col>1</xdr:col>
                    <xdr:colOff>32657</xdr:colOff>
                    <xdr:row>1</xdr:row>
                    <xdr:rowOff>5443</xdr:rowOff>
                  </from>
                  <to>
                    <xdr:col>3</xdr:col>
                    <xdr:colOff>244929</xdr:colOff>
                    <xdr:row>2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print="0" autoLine="0" autoPict="0" macro="[0]!DropDown2_Change">
                <anchor moveWithCells="1">
                  <from>
                    <xdr:col>1</xdr:col>
                    <xdr:colOff>16329</xdr:colOff>
                    <xdr:row>4</xdr:row>
                    <xdr:rowOff>70757</xdr:rowOff>
                  </from>
                  <to>
                    <xdr:col>3</xdr:col>
                    <xdr:colOff>223157</xdr:colOff>
                    <xdr:row>6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FillReport_Click">
                <anchor moveWithCells="1" sizeWithCells="1">
                  <from>
                    <xdr:col>4</xdr:col>
                    <xdr:colOff>0</xdr:colOff>
                    <xdr:row>4</xdr:row>
                    <xdr:rowOff>38100</xdr:rowOff>
                  </from>
                  <to>
                    <xdr:col>8</xdr:col>
                    <xdr:colOff>288471</xdr:colOff>
                    <xdr:row>6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36"/>
  <sheetViews>
    <sheetView tabSelected="1" workbookViewId="0">
      <selection activeCell="C1" sqref="C1"/>
    </sheetView>
  </sheetViews>
  <sheetFormatPr defaultRowHeight="12.45" x14ac:dyDescent="0.3"/>
  <cols>
    <col min="1" max="1" width="11.69140625" style="76" customWidth="1"/>
    <col min="2" max="2" width="15.765625" style="78" customWidth="1"/>
    <col min="3" max="3" width="16.4609375" customWidth="1"/>
    <col min="4" max="4" width="17.69140625" style="78" customWidth="1"/>
    <col min="5" max="5" width="16.4609375" customWidth="1"/>
  </cols>
  <sheetData>
    <row r="1" spans="1:5" ht="14.6" x14ac:dyDescent="0.4">
      <c r="A1" s="72" t="s">
        <v>174</v>
      </c>
      <c r="B1" s="73" t="s">
        <v>175</v>
      </c>
      <c r="C1" s="74" t="s">
        <v>187</v>
      </c>
      <c r="D1" s="73" t="s">
        <v>176</v>
      </c>
      <c r="E1" s="75" t="s">
        <v>177</v>
      </c>
    </row>
    <row r="2" spans="1:5" x14ac:dyDescent="0.3">
      <c r="A2" s="76">
        <v>43466</v>
      </c>
      <c r="B2" s="78">
        <v>5555</v>
      </c>
      <c r="C2" s="76">
        <v>43469</v>
      </c>
      <c r="D2" s="78">
        <v>1234</v>
      </c>
    </row>
    <row r="3" spans="1:5" x14ac:dyDescent="0.3">
      <c r="A3" s="76">
        <v>43467</v>
      </c>
      <c r="B3" s="78">
        <v>2345</v>
      </c>
      <c r="C3" s="76"/>
    </row>
    <row r="4" spans="1:5" x14ac:dyDescent="0.3">
      <c r="A4" s="76">
        <v>43499</v>
      </c>
      <c r="B4" s="78">
        <v>222</v>
      </c>
      <c r="C4" s="76">
        <v>43502</v>
      </c>
      <c r="D4" s="78">
        <v>222</v>
      </c>
    </row>
    <row r="5" spans="1:5" x14ac:dyDescent="0.3">
      <c r="A5" s="76">
        <v>43500</v>
      </c>
      <c r="B5" s="78">
        <v>4321</v>
      </c>
      <c r="C5" s="76">
        <v>43516</v>
      </c>
      <c r="D5" s="78">
        <v>1234</v>
      </c>
    </row>
    <row r="6" spans="1:5" x14ac:dyDescent="0.3">
      <c r="A6" s="76">
        <v>43529</v>
      </c>
      <c r="B6" s="78">
        <v>2222</v>
      </c>
      <c r="C6" s="76">
        <v>43557</v>
      </c>
      <c r="D6" s="78">
        <v>1234</v>
      </c>
    </row>
    <row r="7" spans="1:5" x14ac:dyDescent="0.3">
      <c r="A7" s="76">
        <v>43561</v>
      </c>
      <c r="B7" s="78">
        <v>4321</v>
      </c>
      <c r="C7" s="76">
        <v>43567</v>
      </c>
      <c r="D7" s="78">
        <v>2222</v>
      </c>
    </row>
    <row r="8" spans="1:5" x14ac:dyDescent="0.3">
      <c r="A8" s="76">
        <v>43592</v>
      </c>
      <c r="B8" s="78">
        <v>4321</v>
      </c>
      <c r="C8" s="76">
        <v>43596</v>
      </c>
      <c r="D8" s="78">
        <v>1111</v>
      </c>
    </row>
    <row r="9" spans="1:5" x14ac:dyDescent="0.3">
      <c r="A9" s="76">
        <v>43623</v>
      </c>
      <c r="B9" s="78">
        <v>1234</v>
      </c>
    </row>
    <row r="10" spans="1:5" x14ac:dyDescent="0.3">
      <c r="A10" s="76">
        <v>43655</v>
      </c>
      <c r="B10" s="78">
        <v>4321</v>
      </c>
    </row>
    <row r="11" spans="1:5" x14ac:dyDescent="0.3">
      <c r="A11" s="76">
        <v>43656</v>
      </c>
      <c r="B11" s="78">
        <v>1234</v>
      </c>
    </row>
    <row r="12" spans="1:5" x14ac:dyDescent="0.3">
      <c r="A12" s="76">
        <v>43688</v>
      </c>
      <c r="B12" s="78">
        <v>4321</v>
      </c>
    </row>
    <row r="13" spans="1:5" x14ac:dyDescent="0.3">
      <c r="A13" s="76">
        <v>43720</v>
      </c>
      <c r="B13" s="78">
        <v>4321</v>
      </c>
      <c r="C13" s="76">
        <v>43740</v>
      </c>
      <c r="D13" s="78">
        <v>4321</v>
      </c>
    </row>
    <row r="14" spans="1:5" x14ac:dyDescent="0.3">
      <c r="A14" s="76">
        <v>43751</v>
      </c>
      <c r="B14" s="78">
        <v>1234</v>
      </c>
    </row>
    <row r="15" spans="1:5" x14ac:dyDescent="0.3">
      <c r="A15" s="76">
        <v>43783</v>
      </c>
      <c r="B15" s="78">
        <v>4321</v>
      </c>
    </row>
    <row r="16" spans="1:5" x14ac:dyDescent="0.3">
      <c r="A16" s="76">
        <v>43814</v>
      </c>
      <c r="B16" s="78">
        <v>2345</v>
      </c>
      <c r="C16" s="76">
        <v>43823</v>
      </c>
      <c r="D16" s="78">
        <v>2345</v>
      </c>
    </row>
    <row r="17" spans="1:5" x14ac:dyDescent="0.3">
      <c r="A17" s="76">
        <v>43846</v>
      </c>
      <c r="B17" s="78">
        <v>3456</v>
      </c>
    </row>
    <row r="18" spans="1:5" x14ac:dyDescent="0.3">
      <c r="A18" s="76">
        <v>43878</v>
      </c>
      <c r="B18" s="78">
        <v>4567</v>
      </c>
      <c r="C18" s="76">
        <v>43888</v>
      </c>
      <c r="D18" s="78">
        <v>4567</v>
      </c>
    </row>
    <row r="19" spans="1:5" x14ac:dyDescent="0.3">
      <c r="A19" s="76">
        <v>43908</v>
      </c>
      <c r="B19" s="78">
        <v>1234</v>
      </c>
    </row>
    <row r="20" spans="1:5" x14ac:dyDescent="0.3">
      <c r="A20" s="76">
        <v>43940</v>
      </c>
      <c r="B20" s="78">
        <v>123</v>
      </c>
      <c r="C20" s="76">
        <v>43950</v>
      </c>
      <c r="D20" s="78">
        <v>100</v>
      </c>
    </row>
    <row r="21" spans="1:5" x14ac:dyDescent="0.3">
      <c r="A21" s="76">
        <v>43941</v>
      </c>
      <c r="B21" s="78">
        <v>2345</v>
      </c>
    </row>
    <row r="22" spans="1:5" x14ac:dyDescent="0.3">
      <c r="A22" s="76">
        <v>44003</v>
      </c>
      <c r="B22" s="78">
        <v>4321</v>
      </c>
    </row>
    <row r="23" spans="1:5" x14ac:dyDescent="0.3">
      <c r="A23" s="76">
        <v>44004</v>
      </c>
      <c r="B23" s="78">
        <v>5555</v>
      </c>
      <c r="C23" s="76">
        <v>44008</v>
      </c>
      <c r="D23" s="78">
        <v>1234</v>
      </c>
    </row>
    <row r="24" spans="1:5" x14ac:dyDescent="0.3">
      <c r="A24" s="76">
        <v>44035</v>
      </c>
      <c r="B24" s="78">
        <v>2345</v>
      </c>
    </row>
    <row r="25" spans="1:5" x14ac:dyDescent="0.3">
      <c r="A25" s="76">
        <v>44036</v>
      </c>
      <c r="B25" s="78">
        <v>456</v>
      </c>
      <c r="C25" s="76">
        <v>44046</v>
      </c>
      <c r="D25" s="78">
        <v>456</v>
      </c>
    </row>
    <row r="26" spans="1:5" x14ac:dyDescent="0.3">
      <c r="A26" s="76">
        <v>44068</v>
      </c>
      <c r="B26" s="78">
        <v>2345</v>
      </c>
    </row>
    <row r="27" spans="1:5" x14ac:dyDescent="0.3">
      <c r="A27" s="76">
        <v>44069</v>
      </c>
      <c r="B27" s="78">
        <v>2160</v>
      </c>
    </row>
    <row r="28" spans="1:5" x14ac:dyDescent="0.3">
      <c r="A28" s="76">
        <v>44101</v>
      </c>
      <c r="B28" s="78">
        <v>3456</v>
      </c>
      <c r="C28" s="76">
        <v>44102</v>
      </c>
      <c r="D28" s="78">
        <v>3200</v>
      </c>
    </row>
    <row r="29" spans="1:5" x14ac:dyDescent="0.3">
      <c r="A29" s="76">
        <v>44132</v>
      </c>
      <c r="B29" s="78">
        <v>4444</v>
      </c>
    </row>
    <row r="30" spans="1:5" x14ac:dyDescent="0.3">
      <c r="A30" s="76">
        <v>44166</v>
      </c>
      <c r="B30" s="78">
        <v>2143</v>
      </c>
      <c r="C30" s="76">
        <v>44169</v>
      </c>
      <c r="D30" s="78">
        <v>2143</v>
      </c>
      <c r="E30">
        <v>74.272499999999994</v>
      </c>
    </row>
    <row r="31" spans="1:5" x14ac:dyDescent="0.3">
      <c r="A31" s="76">
        <v>44166</v>
      </c>
      <c r="B31" s="78">
        <v>300</v>
      </c>
    </row>
    <row r="32" spans="1:5" x14ac:dyDescent="0.3">
      <c r="A32" s="76">
        <v>44168</v>
      </c>
      <c r="B32" s="78">
        <v>1111</v>
      </c>
      <c r="C32" s="76">
        <v>44175</v>
      </c>
      <c r="D32" s="78">
        <v>1000</v>
      </c>
    </row>
    <row r="33" spans="1:5" x14ac:dyDescent="0.3">
      <c r="A33" s="76">
        <v>44171</v>
      </c>
      <c r="B33" s="78">
        <v>2222</v>
      </c>
    </row>
    <row r="34" spans="1:5" x14ac:dyDescent="0.3">
      <c r="A34" s="76">
        <v>44204</v>
      </c>
      <c r="B34" s="78">
        <v>3333</v>
      </c>
    </row>
    <row r="35" spans="1:5" x14ac:dyDescent="0.3">
      <c r="A35" s="76">
        <v>44237</v>
      </c>
      <c r="B35" s="78">
        <v>4444</v>
      </c>
    </row>
    <row r="36" spans="1:5" x14ac:dyDescent="0.3">
      <c r="A36" s="76">
        <v>44238</v>
      </c>
      <c r="B36" s="78">
        <v>5555</v>
      </c>
      <c r="C36" s="76">
        <v>44256</v>
      </c>
      <c r="D36" s="78">
        <v>5000</v>
      </c>
      <c r="E36">
        <v>74.2303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3:C7"/>
  <sheetViews>
    <sheetView workbookViewId="0">
      <selection activeCell="B6" sqref="B6"/>
    </sheetView>
  </sheetViews>
  <sheetFormatPr defaultRowHeight="12.45" x14ac:dyDescent="0.3"/>
  <cols>
    <col min="2" max="2" width="11.3046875" bestFit="1" customWidth="1"/>
    <col min="3" max="3" width="18.84375" bestFit="1" customWidth="1"/>
  </cols>
  <sheetData>
    <row r="3" spans="2:3" x14ac:dyDescent="0.3">
      <c r="B3" s="69" t="s">
        <v>168</v>
      </c>
      <c r="C3" t="s">
        <v>167</v>
      </c>
    </row>
    <row r="4" spans="2:3" x14ac:dyDescent="0.3">
      <c r="B4" s="70">
        <v>2019</v>
      </c>
      <c r="C4" s="71">
        <v>2513315.6301000002</v>
      </c>
    </row>
    <row r="5" spans="2:3" x14ac:dyDescent="0.3">
      <c r="B5" s="70">
        <v>2020</v>
      </c>
      <c r="C5" s="71">
        <v>3047715.872</v>
      </c>
    </row>
    <row r="6" spans="2:3" x14ac:dyDescent="0.3">
      <c r="B6" s="70">
        <v>2021</v>
      </c>
      <c r="C6" s="71">
        <v>985864.62589999998</v>
      </c>
    </row>
    <row r="7" spans="2:3" x14ac:dyDescent="0.3">
      <c r="B7" s="70" t="s">
        <v>166</v>
      </c>
      <c r="C7" s="71">
        <v>6546896.1279999996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FB73BF6-C98A-4FD5-B133-E627B8BC0695}">
  <ds:schemaRefs/>
</ds:datastoreItem>
</file>

<file path=customXml/itemProps2.xml><?xml version="1.0" encoding="utf-8"?>
<ds:datastoreItem xmlns:ds="http://schemas.openxmlformats.org/officeDocument/2006/customXml" ds:itemID="{50E9BF91-F37E-452F-839F-57E71DC669BA}">
  <ds:schemaRefs/>
</ds:datastoreItem>
</file>

<file path=customXml/itemProps3.xml><?xml version="1.0" encoding="utf-8"?>
<ds:datastoreItem xmlns:ds="http://schemas.openxmlformats.org/officeDocument/2006/customXml" ds:itemID="{E036F57B-46C7-43B8-8CF9-62C8837884C3}">
  <ds:schemaRefs/>
</ds:datastoreItem>
</file>

<file path=customXml/itemProps4.xml><?xml version="1.0" encoding="utf-8"?>
<ds:datastoreItem xmlns:ds="http://schemas.openxmlformats.org/officeDocument/2006/customXml" ds:itemID="{A676B69E-0C8F-41B3-9A91-189993570F3F}">
  <ds:schemaRefs/>
</ds:datastoreItem>
</file>

<file path=customXml/itemProps5.xml><?xml version="1.0" encoding="utf-8"?>
<ds:datastoreItem xmlns:ds="http://schemas.openxmlformats.org/officeDocument/2006/customXml" ds:itemID="{41159FEE-5B1D-49BE-9B9F-46906B53D9B6}">
  <ds:schemaRefs/>
</ds:datastoreItem>
</file>

<file path=customXml/itemProps6.xml><?xml version="1.0" encoding="utf-8"?>
<ds:datastoreItem xmlns:ds="http://schemas.openxmlformats.org/officeDocument/2006/customXml" ds:itemID="{EC31B506-2EE0-4BFC-9DE1-AFC42DE83CF7}">
  <ds:schemaRefs/>
</ds:datastoreItem>
</file>

<file path=customXml/itemProps7.xml><?xml version="1.0" encoding="utf-8"?>
<ds:datastoreItem xmlns:ds="http://schemas.openxmlformats.org/officeDocument/2006/customXml" ds:itemID="{90B1CB37-6151-4AED-A991-0586BA0413F2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372EFCB3-4D99-48A4-9666-53EBFC63C104}">
  <ds:schemaRefs/>
</ds:datastoreItem>
</file>

<file path=customXml/itemProps9.xml><?xml version="1.0" encoding="utf-8"?>
<ds:datastoreItem xmlns:ds="http://schemas.openxmlformats.org/officeDocument/2006/customXml" ds:itemID="{FA41322A-8C22-48DF-AE97-D435FC7E88EB}">
  <ds:schemaRefs/>
</ds:datastoreItem>
</file>

<file path=customXml/itemProps10.xml><?xml version="1.0" encoding="utf-8"?>
<ds:datastoreItem xmlns:ds="http://schemas.openxmlformats.org/officeDocument/2006/customXml" ds:itemID="{FE73F9D7-26B4-4A40-AABD-A6C81627BEA7}">
  <ds:schemaRefs/>
</ds:datastoreItem>
</file>

<file path=customXml/itemProps11.xml><?xml version="1.0" encoding="utf-8"?>
<ds:datastoreItem xmlns:ds="http://schemas.openxmlformats.org/officeDocument/2006/customXml" ds:itemID="{4F8F4D5F-992E-46F6-8246-251290D78B05}">
  <ds:schemaRefs/>
</ds:datastoreItem>
</file>

<file path=customXml/itemProps12.xml><?xml version="1.0" encoding="utf-8"?>
<ds:datastoreItem xmlns:ds="http://schemas.openxmlformats.org/officeDocument/2006/customXml" ds:itemID="{D1C65DA0-786D-4EF2-891C-74620D6C325E}">
  <ds:schemaRefs/>
</ds:datastoreItem>
</file>

<file path=customXml/itemProps13.xml><?xml version="1.0" encoding="utf-8"?>
<ds:datastoreItem xmlns:ds="http://schemas.openxmlformats.org/officeDocument/2006/customXml" ds:itemID="{2B565492-1EE5-4086-8966-DE5E0E80C9EC}">
  <ds:schemaRefs/>
</ds:datastoreItem>
</file>

<file path=customXml/itemProps14.xml><?xml version="1.0" encoding="utf-8"?>
<ds:datastoreItem xmlns:ds="http://schemas.openxmlformats.org/officeDocument/2006/customXml" ds:itemID="{8FDEF421-96B8-422F-AC1D-D9F45052DF46}">
  <ds:schemaRefs/>
</ds:datastoreItem>
</file>

<file path=customXml/itemProps15.xml><?xml version="1.0" encoding="utf-8"?>
<ds:datastoreItem xmlns:ds="http://schemas.openxmlformats.org/officeDocument/2006/customXml" ds:itemID="{69932582-4EC5-46E7-9F77-9EF637210D9D}">
  <ds:schemaRefs/>
</ds:datastoreItem>
</file>

<file path=customXml/itemProps16.xml><?xml version="1.0" encoding="utf-8"?>
<ds:datastoreItem xmlns:ds="http://schemas.openxmlformats.org/officeDocument/2006/customXml" ds:itemID="{7213680E-43F7-4655-A359-E70ED43C9630}">
  <ds:schemaRefs/>
</ds:datastoreItem>
</file>

<file path=customXml/itemProps17.xml><?xml version="1.0" encoding="utf-8"?>
<ds:datastoreItem xmlns:ds="http://schemas.openxmlformats.org/officeDocument/2006/customXml" ds:itemID="{E500589D-95E0-4789-B422-3AE9CFA80D1D}">
  <ds:schemaRefs/>
</ds:datastoreItem>
</file>

<file path=customXml/itemProps18.xml><?xml version="1.0" encoding="utf-8"?>
<ds:datastoreItem xmlns:ds="http://schemas.openxmlformats.org/officeDocument/2006/customXml" ds:itemID="{C2AF9696-31BA-4CCD-84A0-7EAFDA60E4B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str.1</vt:lpstr>
      <vt:lpstr>section.1.1</vt:lpstr>
      <vt:lpstr>section.2.1.1</vt:lpstr>
      <vt:lpstr>Initial</vt:lpstr>
      <vt:lpstr>Income</vt:lpstr>
      <vt:lpstr>PivotIncome</vt:lpstr>
      <vt:lpstr>section.1.1!Print_Area</vt:lpstr>
      <vt:lpstr>section.2.1.1!Print_Area</vt:lpstr>
      <vt:lpstr>str.1!Print_Area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ip-spravka.ru</dc:title>
  <dc:creator>ip-spravka.ru</dc:creator>
  <cp:lastModifiedBy>raul</cp:lastModifiedBy>
  <cp:lastPrinted>2019-03-13T13:32:42Z</cp:lastPrinted>
  <dcterms:created xsi:type="dcterms:W3CDTF">2009-02-04T07:40:11Z</dcterms:created>
  <dcterms:modified xsi:type="dcterms:W3CDTF">2022-09-16T15:54:56Z</dcterms:modified>
</cp:coreProperties>
</file>